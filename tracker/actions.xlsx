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'Dashboard'!$C$10:$C$15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'Dashboard'!$D$10:$D$15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'Dashboard'!$E$10:$E$15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X39" headerRowCount="1">
  <autoFilter ref="A1:X39"/>
  <tableColumns count="24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flags"/>
    <tableColumn id="18" name="meeting"/>
    <tableColumn id="19" name="origin"/>
    <tableColumn id="20" name="updated"/>
    <tableColumn id="21" name="closed"/>
    <tableColumn id="22" name="created"/>
    <tableColumn id="23" name="source"/>
    <tableColumn id="24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2026-09-25).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Ashwini</t>
        </is>
      </c>
      <c r="C10" s="11">
        <f>SUMPRODUCT(COUNTIFS(Actions!$D$2:$D$5000,{"blocked","in_progress","open","to_verify"},Actions!$B$2:$B$5000,$B10,Actions!$C$2:$C$5000,"P1"))</f>
        <v/>
      </c>
      <c r="D10" s="11">
        <f>SUMPRODUCT(COUNTIFS(Actions!$D$2:$D$5000,{"blocked","in_progress","open","to_verify"},Actions!$B$2:$B$5000,$B10,Actions!$C$2:$C$5000,"P2"))</f>
        <v/>
      </c>
      <c r="E10" s="11">
        <f>SUMPRODUCT(COUNTIFS(Actions!$D$2:$D$5000,{"blocked","in_progress","open","to_verify"},Actions!$B$2:$B$5000,$B10,Actions!$C$2:$C$5000,"P3"))</f>
        <v/>
      </c>
      <c r="F10" s="12">
        <f>SUMPRODUCT(COUNTIFS(Actions!$D$2:$D$5000,{"blocked","in_progress","open","to_verify"},Actions!$B$2:$B$5000,$B10))</f>
        <v/>
      </c>
      <c r="G10" s="11">
        <f>SUMPRODUCT(COUNTIFS(Actions!$D$2:$D$5000,{"blocked","in_progress","open","to_verify"},Actions!$B$2:$B$5000,$B10,Actions!$E$2:$E$5000,"&lt;"&amp;TODAY()))</f>
        <v/>
      </c>
    </row>
    <row r="11">
      <c r="B11" s="10" t="inlineStr">
        <is>
          <t>Laxmikant</t>
        </is>
      </c>
      <c r="C11" s="11">
        <f>SUMPRODUCT(COUNTIFS(Actions!$D$2:$D$5000,{"blocked","in_progress","open","to_verify"},Actions!$B$2:$B$5000,$B11,Actions!$C$2:$C$5000,"P1"))</f>
        <v/>
      </c>
      <c r="D11" s="11">
        <f>SUMPRODUCT(COUNTIFS(Actions!$D$2:$D$5000,{"blocked","in_progress","open","to_verify"},Actions!$B$2:$B$5000,$B11,Actions!$C$2:$C$5000,"P2"))</f>
        <v/>
      </c>
      <c r="E11" s="11">
        <f>SUMPRODUCT(COUNTIFS(Actions!$D$2:$D$5000,{"blocked","in_progress","open","to_verify"},Actions!$B$2:$B$5000,$B11,Actions!$C$2:$C$5000,"P3"))</f>
        <v/>
      </c>
      <c r="F11" s="12">
        <f>SUMPRODUCT(COUNTIFS(Actions!$D$2:$D$5000,{"blocked","in_progress","open","to_verify"},Actions!$B$2:$B$5000,$B11))</f>
        <v/>
      </c>
      <c r="G11" s="11">
        <f>SUMPRODUCT(COUNTIFS(Actions!$D$2:$D$5000,{"blocked","in_progress","open","to_verify"},Actions!$B$2:$B$5000,$B11,Actions!$E$2:$E$5000,"&lt;"&amp;TODAY()))</f>
        <v/>
      </c>
    </row>
    <row r="12">
      <c r="B12" s="10" t="inlineStr">
        <is>
          <t>Aswin</t>
        </is>
      </c>
      <c r="C12" s="11">
        <f>SUMPRODUCT(COUNTIFS(Actions!$D$2:$D$5000,{"blocked","in_progress","open","to_verify"},Actions!$B$2:$B$5000,$B12,Actions!$C$2:$C$5000,"P1"))</f>
        <v/>
      </c>
      <c r="D12" s="11">
        <f>SUMPRODUCT(COUNTIFS(Actions!$D$2:$D$5000,{"blocked","in_progress","open","to_verify"},Actions!$B$2:$B$5000,$B12,Actions!$C$2:$C$5000,"P2"))</f>
        <v/>
      </c>
      <c r="E12" s="11">
        <f>SUMPRODUCT(COUNTIFS(Actions!$D$2:$D$5000,{"blocked","in_progress","open","to_verify"},Actions!$B$2:$B$5000,$B12,Actions!$C$2:$C$5000,"P3"))</f>
        <v/>
      </c>
      <c r="F12" s="12">
        <f>SUMPRODUCT(COUNTIFS(Actions!$D$2:$D$5000,{"blocked","in_progress","open","to_verify"},Actions!$B$2:$B$5000,$B12))</f>
        <v/>
      </c>
      <c r="G12" s="11">
        <f>SUMPRODUCT(COUNTIFS(Actions!$D$2:$D$5000,{"blocked","in_progress","open","to_verify"},Actions!$B$2:$B$5000,$B12,Actions!$E$2:$E$5000,"&lt;"&amp;TODAY()))</f>
        <v/>
      </c>
    </row>
    <row r="13">
      <c r="B13" s="10" t="inlineStr">
        <is>
          <t>Johan</t>
        </is>
      </c>
      <c r="C13" s="11">
        <f>SUMPRODUCT(COUNTIFS(Actions!$D$2:$D$5000,{"blocked","in_progress","open","to_verify"},Actions!$B$2:$B$5000,$B13,Actions!$C$2:$C$5000,"P1"))</f>
        <v/>
      </c>
      <c r="D13" s="11">
        <f>SUMPRODUCT(COUNTIFS(Actions!$D$2:$D$5000,{"blocked","in_progress","open","to_verify"},Actions!$B$2:$B$5000,$B13,Actions!$C$2:$C$5000,"P2"))</f>
        <v/>
      </c>
      <c r="E13" s="11">
        <f>SUMPRODUCT(COUNTIFS(Actions!$D$2:$D$5000,{"blocked","in_progress","open","to_verify"},Actions!$B$2:$B$5000,$B13,Actions!$C$2:$C$5000,"P3"))</f>
        <v/>
      </c>
      <c r="F13" s="12">
        <f>SUMPRODUCT(COUNTIFS(Actions!$D$2:$D$5000,{"blocked","in_progress","open","to_verify"},Actions!$B$2:$B$5000,$B13))</f>
        <v/>
      </c>
      <c r="G13" s="11">
        <f>SUMPRODUCT(COUNTIFS(Actions!$D$2:$D$5000,{"blocked","in_progress","open","to_verify"},Actions!$B$2:$B$5000,$B13,Actions!$E$2:$E$5000,"&lt;"&amp;TODAY()))</f>
        <v/>
      </c>
    </row>
    <row r="14">
      <c r="B14" s="10" t="inlineStr">
        <is>
          <t>Samuel</t>
        </is>
      </c>
      <c r="C14" s="11">
        <f>SUMPRODUCT(COUNTIFS(Actions!$D$2:$D$5000,{"blocked","in_progress","open","to_verify"},Actions!$B$2:$B$5000,$B14,Actions!$C$2:$C$5000,"P1"))</f>
        <v/>
      </c>
      <c r="D14" s="11">
        <f>SUMPRODUCT(COUNTIFS(Actions!$D$2:$D$5000,{"blocked","in_progress","open","to_verify"},Actions!$B$2:$B$5000,$B14,Actions!$C$2:$C$5000,"P2"))</f>
        <v/>
      </c>
      <c r="E14" s="11">
        <f>SUMPRODUCT(COUNTIFS(Actions!$D$2:$D$5000,{"blocked","in_progress","open","to_verify"},Actions!$B$2:$B$5000,$B14,Actions!$C$2:$C$5000,"P3"))</f>
        <v/>
      </c>
      <c r="F14" s="12">
        <f>SUMPRODUCT(COUNTIFS(Actions!$D$2:$D$5000,{"blocked","in_progress","open","to_verify"},Actions!$B$2:$B$5000,$B14))</f>
        <v/>
      </c>
      <c r="G14" s="11">
        <f>SUMPRODUCT(COUNTIFS(Actions!$D$2:$D$5000,{"blocked","in_progress","open","to_verify"},Actions!$B$2:$B$5000,$B14,Actions!$E$2:$E$5000,"&lt;"&amp;TODAY()))</f>
        <v/>
      </c>
    </row>
    <row r="15">
      <c r="B15" s="10" t="inlineStr">
        <is>
          <t>Thenappan</t>
        </is>
      </c>
      <c r="C15" s="11">
        <f>SUMPRODUCT(COUNTIFS(Actions!$D$2:$D$5000,{"blocked","in_progress","open","to_verify"},Actions!$B$2:$B$5000,$B15,Actions!$C$2:$C$5000,"P1"))</f>
        <v/>
      </c>
      <c r="D15" s="11">
        <f>SUMPRODUCT(COUNTIFS(Actions!$D$2:$D$5000,{"blocked","in_progress","open","to_verify"},Actions!$B$2:$B$5000,$B15,Actions!$C$2:$C$5000,"P2"))</f>
        <v/>
      </c>
      <c r="E15" s="11">
        <f>SUMPRODUCT(COUNTIFS(Actions!$D$2:$D$5000,{"blocked","in_progress","open","to_verify"},Actions!$B$2:$B$5000,$B15,Actions!$C$2:$C$5000,"P3"))</f>
        <v/>
      </c>
      <c r="F15" s="12">
        <f>SUMPRODUCT(COUNTIFS(Actions!$D$2:$D$5000,{"blocked","in_progress","open","to_verify"},Actions!$B$2:$B$5000,$B15))</f>
        <v/>
      </c>
      <c r="G15" s="11">
        <f>SUMPRODUCT(COUNTIFS(Actions!$D$2:$D$5000,{"blocked","in_progress","open","to_verify"},Actions!$B$2:$B$5000,$B15,Actions!$E$2:$E$5000,"&lt;"&amp;TODAY()))</f>
        <v/>
      </c>
    </row>
    <row r="16">
      <c r="B16" s="13" t="inlineStr">
        <is>
          <t>Total</t>
        </is>
      </c>
      <c r="C16" s="14">
        <f>SUM(C10:C15)</f>
        <v/>
      </c>
      <c r="D16" s="14">
        <f>SUM(D10:D15)</f>
        <v/>
      </c>
      <c r="E16" s="14">
        <f>SUM(E10:E15)</f>
        <v/>
      </c>
      <c r="F16" s="14">
        <f>SUM(F10:F15)</f>
        <v/>
      </c>
      <c r="G16" s="14">
        <f>SUM(G10:G15)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0" t="inlineStr">
        <is>
          <t>Overdue</t>
        </is>
      </c>
      <c r="C24" s="12">
        <f>SUMPRODUCT(COUNTIFS(Actions!$D$2:$D$5000,{"blocked","in_progress","open","to_verify"},Actions!$E$2:$E$5000,"&lt;"&amp;TODAY()))</f>
        <v/>
      </c>
      <c r="D24" s="11">
        <f>SUMPRODUCT(COUNTIFS(Actions!$D$2:$D$5000,{"blocked","in_progress","open","to_verify"},Actions!$E$2:$E$5000,"&lt;"&amp;TODAY(),Actions!$C$2:$C$5000,"P1"))</f>
        <v/>
      </c>
    </row>
    <row r="25">
      <c r="B25" s="10" t="inlineStr">
        <is>
          <t>Due today</t>
        </is>
      </c>
      <c r="C25" s="12">
        <f>SUMPRODUCT(COUNTIFS(Actions!$D$2:$D$5000,{"blocked","in_progress","open","to_verify"},Actions!$E$2:$E$5000,TODAY()))</f>
        <v/>
      </c>
      <c r="D25" s="11">
        <f>SUMPRODUCT(COUNTIFS(Actions!$D$2:$D$5000,{"blocked","in_progress","open","to_verify"},Actions!$E$2:$E$5000,TODAY(),Actions!$C$2:$C$5000,"P1"))</f>
        <v/>
      </c>
    </row>
    <row r="26">
      <c r="B26" s="10" t="inlineStr">
        <is>
          <t>Next 7 days</t>
        </is>
      </c>
      <c r="C26" s="12">
        <f>SUMPRODUCT(COUNTIFS(Actions!$D$2:$D$5000,{"blocked","in_progress","open","to_verify"},Actions!$E$2:$E$5000,"&gt;"&amp;TODAY(),Actions!$E$2:$E$5000,"&lt;="&amp;TODAY()+7))</f>
        <v/>
      </c>
      <c r="D26" s="11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0" t="inlineStr">
        <is>
          <t>Later</t>
        </is>
      </c>
      <c r="C27" s="12">
        <f>SUMPRODUCT(COUNTIFS(Actions!$D$2:$D$5000,{"blocked","in_progress","open","to_verify"},Actions!$E$2:$E$5000,"&gt;"&amp;TODAY()+7))</f>
        <v/>
      </c>
      <c r="D27" s="11">
        <f>SUMPRODUCT(COUNTIFS(Actions!$D$2:$D$5000,{"blocked","in_progress","open","to_verify"},Actions!$E$2:$E$5000,"&gt;"&amp;TODAY()+7,Actions!$C$2:$C$5000,"P1"))</f>
        <v/>
      </c>
    </row>
    <row r="28">
      <c r="B28" s="10" t="inlineStr">
        <is>
          <t>No date</t>
        </is>
      </c>
      <c r="C28" s="12">
        <f>SUMPRODUCT(COUNTIFS(Actions!$D$2:$D$5000,{"blocked","in_progress","open","to_verify"},Actions!$E$2:$E$5000,""))</f>
        <v/>
      </c>
      <c r="D28" s="11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0" t="inlineStr">
        <is>
          <t>intelligent-tracker</t>
        </is>
      </c>
      <c r="C33" s="12">
        <f>SUMPRODUCT(COUNTIFS(Actions!$D$2:$D$5000,{"blocked","in_progress","open","to_verify"},Actions!$F$2:$F$5000,$B33))</f>
        <v/>
      </c>
      <c r="D33" s="11">
        <f>SUMPRODUCT(COUNTIFS(Actions!$D$2:$D$5000,{"blocked","in_progress","open","to_verify"},Actions!$F$2:$F$5000,$B33,Actions!$C$2:$C$5000,"P1"))</f>
        <v/>
      </c>
      <c r="E33" s="11">
        <f>SUMPRODUCT(COUNTIFS(Actions!$D$2:$D$5000,{"blocked","in_progress","open","to_verify"},Actions!$F$2:$F$5000,$B33,Actions!$E$2:$E$5000,"&lt;"&amp;TODAY()))</f>
        <v/>
      </c>
      <c r="F33" s="11">
        <f>COUNTIFS(Actions!$F$2:$F$5000,$B33,Actions!$D$2:$D$5000,"done")</f>
        <v/>
      </c>
    </row>
    <row r="34">
      <c r="B34" s="10" t="inlineStr">
        <is>
          <t>lsp</t>
        </is>
      </c>
      <c r="C34" s="12">
        <f>SUMPRODUCT(COUNTIFS(Actions!$D$2:$D$5000,{"blocked","in_progress","open","to_verify"},Actions!$F$2:$F$5000,$B34))</f>
        <v/>
      </c>
      <c r="D34" s="11">
        <f>SUMPRODUCT(COUNTIFS(Actions!$D$2:$D$5000,{"blocked","in_progress","open","to_verify"},Actions!$F$2:$F$5000,$B34,Actions!$C$2:$C$5000,"P1"))</f>
        <v/>
      </c>
      <c r="E34" s="11">
        <f>SUMPRODUCT(COUNTIFS(Actions!$D$2:$D$5000,{"blocked","in_progress","open","to_verify"},Actions!$F$2:$F$5000,$B34,Actions!$E$2:$E$5000,"&lt;"&amp;TODAY()))</f>
        <v/>
      </c>
      <c r="F34" s="11">
        <f>COUNTIFS(Actions!$F$2:$F$5000,$B34,Actions!$D$2:$D$5000,"done")</f>
        <v/>
      </c>
    </row>
    <row r="35">
      <c r="B35" s="10" t="inlineStr">
        <is>
          <t>unassigned</t>
        </is>
      </c>
      <c r="C35" s="12">
        <f>SUMPRODUCT(COUNTIFS(Actions!$D$2:$D$5000,{"blocked","in_progress","open","to_verify"},Actions!$F$2:$F$5000,$B35))</f>
        <v/>
      </c>
      <c r="D35" s="11">
        <f>SUMPRODUCT(COUNTIFS(Actions!$D$2:$D$5000,{"blocked","in_progress","open","to_verify"},Actions!$F$2:$F$5000,$B35,Actions!$C$2:$C$5000,"P1"))</f>
        <v/>
      </c>
      <c r="E35" s="11">
        <f>SUMPRODUCT(COUNTIFS(Actions!$D$2:$D$5000,{"blocked","in_progress","open","to_verify"},Actions!$F$2:$F$5000,$B35,Actions!$E$2:$E$5000,"&lt;"&amp;TODAY()))</f>
        <v/>
      </c>
      <c r="F35" s="11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0" t="inlineStr">
        <is>
          <t>blocked</t>
        </is>
      </c>
      <c r="C40" s="12">
        <f>COUNTIF(Actions!$D$2:$D$5000,$B40)</f>
        <v/>
      </c>
    </row>
    <row r="41">
      <c r="B41" s="10" t="inlineStr">
        <is>
          <t>in_progress</t>
        </is>
      </c>
      <c r="C41" s="12">
        <f>COUNTIF(Actions!$D$2:$D$5000,$B41)</f>
        <v/>
      </c>
    </row>
    <row r="42">
      <c r="B42" s="10" t="inlineStr">
        <is>
          <t>open</t>
        </is>
      </c>
      <c r="C42" s="12">
        <f>COUNTIF(Actions!$D$2:$D$5000,$B42)</f>
        <v/>
      </c>
    </row>
    <row r="43">
      <c r="B43" s="10" t="inlineStr">
        <is>
          <t>to_verify</t>
        </is>
      </c>
      <c r="C43" s="12">
        <f>COUNTIF(Actions!$D$2:$D$5000,$B43)</f>
        <v/>
      </c>
    </row>
    <row r="44">
      <c r="B44" s="10" t="inlineStr">
        <is>
          <t>done</t>
        </is>
      </c>
      <c r="C44" s="12">
        <f>COUNTIF(Actions!$D$2:$D$5000,$B44)</f>
        <v/>
      </c>
    </row>
    <row r="45">
      <c r="B45" s="10" t="inlineStr">
        <is>
          <t>rejected</t>
        </is>
      </c>
      <c r="C45" s="12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9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8" customWidth="1" min="17" max="17"/>
    <col width="24" customWidth="1" min="18" max="18"/>
    <col width="10" customWidth="1" min="19" max="19"/>
    <col width="11" customWidth="1" min="20" max="20"/>
    <col width="11" customWidth="1" min="21" max="21"/>
    <col width="11" customWidth="1" min="22" max="22"/>
    <col width="32" customWidth="1" min="23" max="23"/>
    <col width="32" customWidth="1" min="24" max="24"/>
  </cols>
  <sheetData>
    <row r="1" ht="24" customHeight="1">
      <c r="A1" s="15" t="inlineStr">
        <is>
          <t>task</t>
        </is>
      </c>
      <c r="B1" s="15" t="inlineStr">
        <is>
          <t>owner</t>
        </is>
      </c>
      <c r="C1" s="15" t="inlineStr">
        <is>
          <t>priority</t>
        </is>
      </c>
      <c r="D1" s="15" t="inlineStr">
        <is>
          <t>status</t>
        </is>
      </c>
      <c r="E1" s="15" t="inlineStr">
        <is>
          <t>due</t>
        </is>
      </c>
      <c r="F1" s="15" t="inlineStr">
        <is>
          <t>project</t>
        </is>
      </c>
      <c r="G1" s="15" t="inlineStr">
        <is>
          <t>team</t>
        </is>
      </c>
      <c r="H1" s="15" t="inlineStr">
        <is>
          <t>type</t>
        </is>
      </c>
      <c r="I1" s="15" t="inlineStr">
        <is>
          <t>next_step</t>
        </is>
      </c>
      <c r="J1" s="15" t="inlineStr">
        <is>
          <t>unblocker</t>
        </is>
      </c>
      <c r="K1" s="15" t="inlineStr">
        <is>
          <t>effort</t>
        </is>
      </c>
      <c r="L1" s="15" t="inlineStr">
        <is>
          <t>blocked_by</t>
        </is>
      </c>
      <c r="M1" s="15" t="inlineStr">
        <is>
          <t>prerequisites</t>
        </is>
      </c>
      <c r="N1" s="15" t="inlineStr">
        <is>
          <t>notes</t>
        </is>
      </c>
      <c r="O1" s="15" t="inlineStr">
        <is>
          <t>evidence</t>
        </is>
      </c>
      <c r="P1" s="15" t="inlineStr">
        <is>
          <t>basis</t>
        </is>
      </c>
      <c r="Q1" s="15" t="inlineStr">
        <is>
          <t>flags</t>
        </is>
      </c>
      <c r="R1" s="15" t="inlineStr">
        <is>
          <t>meeting</t>
        </is>
      </c>
      <c r="S1" s="15" t="inlineStr">
        <is>
          <t>origin</t>
        </is>
      </c>
      <c r="T1" s="15" t="inlineStr">
        <is>
          <t>updated</t>
        </is>
      </c>
      <c r="U1" s="15" t="inlineStr">
        <is>
          <t>closed</t>
        </is>
      </c>
      <c r="V1" s="15" t="inlineStr">
        <is>
          <t>created</t>
        </is>
      </c>
      <c r="W1" s="15" t="inlineStr">
        <is>
          <t>source</t>
        </is>
      </c>
      <c r="X1" s="15" t="inlineStr">
        <is>
          <t>id</t>
        </is>
      </c>
    </row>
    <row r="2">
      <c r="A2" s="16" t="inlineStr">
        <is>
          <t>Set and add the first demo date to the project plan.</t>
        </is>
      </c>
      <c r="B2" s="16" t="inlineStr">
        <is>
          <t>Ashwini</t>
        </is>
      </c>
      <c r="C2" s="17" t="inlineStr">
        <is>
          <t>P1</t>
        </is>
      </c>
      <c r="D2" s="17" t="inlineStr">
        <is>
          <t>to_verify</t>
        </is>
      </c>
      <c r="E2" s="18" t="n">
        <v>46287</v>
      </c>
      <c r="F2" s="16" t="inlineStr">
        <is>
          <t>intelligent-tracker</t>
        </is>
      </c>
      <c r="G2" s="16" t="inlineStr">
        <is>
          <t>Intelligent Tracker</t>
        </is>
      </c>
      <c r="H2" s="16" t="inlineStr">
        <is>
          <t>communicate</t>
        </is>
      </c>
      <c r="I2" s="16" t="inlineStr">
        <is>
          <t>Confirm the demo date internally and message it to Sreekumar today.</t>
        </is>
      </c>
      <c r="J2" s="16" t="inlineStr">
        <is>
          <t>Ashwini</t>
        </is>
      </c>
      <c r="K2" s="17" t="inlineStr">
        <is>
          <t>15m</t>
        </is>
      </c>
      <c r="L2" s="16" t="inlineStr"/>
      <c r="M2" s="16" t="inlineStr"/>
      <c r="N2" s="16" t="inlineStr">
        <is>
          <t>2026-09-22: due 2026-09-21 -&gt; 2026-09-22 | 2026-09-22: Sreekumar repeated the demo-date ask after it was already 2 days overdue; Ashwini committed to share it today. Escalating to P1 per repeat-ask rule. | 2026-09-25: Ashwini confirmed demo dates: Issues+CR demo next Wednesday (2026-09-30), Plan Tree demo on 2026-10-05; date already shared with Sreekumar. [I have shared you, sir, like maybe it's 9th, 5th, 9th of October, I guess, sorry, 5th of October, sir.]</t>
        </is>
      </c>
      <c r="O2" s="16" t="inlineStr">
        <is>
          <t>No, please put the date where we can have the first demo.</t>
        </is>
      </c>
      <c r="P2" s="16" t="inlineStr">
        <is>
          <t>2026-09-21-intelligent-tracker-03</t>
        </is>
      </c>
      <c r="Q2" s="16" t="inlineStr">
        <is>
          <t>due before meeting: 2026-09-22</t>
        </is>
      </c>
      <c r="R2" s="16" t="inlineStr">
        <is>
          <t>Activity Tracker internal sync-up</t>
        </is>
      </c>
      <c r="S2" s="17" t="inlineStr">
        <is>
          <t>planned</t>
        </is>
      </c>
      <c r="T2" s="18" t="n">
        <v>46290</v>
      </c>
      <c r="U2" s="18" t="n"/>
      <c r="V2" s="18" t="n">
        <v>46286</v>
      </c>
      <c r="W2" s="16" t="inlineStr">
        <is>
          <t>2026-09-21-activity-tracker-sync.docx</t>
        </is>
      </c>
      <c r="X2" s="16" t="inlineStr">
        <is>
          <t>2026-09-21-intelligent-tracker-03</t>
        </is>
      </c>
    </row>
    <row r="3">
      <c r="A3" s="16" t="inlineStr">
        <is>
          <t>Implement CR time-block functionality once the Time Logs data structure is finalized.</t>
        </is>
      </c>
      <c r="B3" s="16" t="inlineStr">
        <is>
          <t>Johan</t>
        </is>
      </c>
      <c r="C3" s="17" t="inlineStr">
        <is>
          <t>P1</t>
        </is>
      </c>
      <c r="D3" s="17" t="inlineStr">
        <is>
          <t>blocked</t>
        </is>
      </c>
      <c r="E3" s="18" t="n"/>
      <c r="F3" s="16" t="inlineStr">
        <is>
          <t>intelligent-tracker</t>
        </is>
      </c>
      <c r="G3" s="16" t="inlineStr">
        <is>
          <t>Intelligent Tracker</t>
        </is>
      </c>
      <c r="H3" s="16" t="inlineStr">
        <is>
          <t>build</t>
        </is>
      </c>
      <c r="I3" s="16" t="inlineStr"/>
      <c r="J3" s="16" t="inlineStr">
        <is>
          <t>Laxmikant</t>
        </is>
      </c>
      <c r="K3" s="17" t="inlineStr">
        <is>
          <t>unknown</t>
        </is>
      </c>
      <c r="L3" s="16" t="inlineStr">
        <is>
          <t>Time Logs module completion</t>
        </is>
      </c>
      <c r="M3" s="16" t="inlineStr">
        <is>
          <t>Time Logs data structure/module completion</t>
        </is>
      </c>
      <c r="N3" s="16" t="inlineStr"/>
      <c r="O3" s="16" t="inlineStr">
        <is>
          <t>functionality for that will not be done until the time logs is complete</t>
        </is>
      </c>
      <c r="P3" s="16" t="inlineStr"/>
      <c r="Q3" s="16" t="inlineStr"/>
      <c r="R3" s="16" t="inlineStr">
        <is>
          <t>Activity Tracker internal sync-up</t>
        </is>
      </c>
      <c r="S3" s="17" t="inlineStr">
        <is>
          <t>planned</t>
        </is>
      </c>
      <c r="T3" s="18" t="n">
        <v>46289</v>
      </c>
      <c r="U3" s="18" t="n"/>
      <c r="V3" s="18" t="n">
        <v>46289</v>
      </c>
      <c r="W3" s="16" t="inlineStr">
        <is>
          <t>Activity Tracker- internal sync-up (5).docx</t>
        </is>
      </c>
      <c r="X3" s="16" t="inlineStr">
        <is>
          <t>2026-09-24-intelligent-tracker-05</t>
        </is>
      </c>
    </row>
    <row r="4">
      <c r="A4" s="16" t="inlineStr">
        <is>
          <t>Verify and add date-based validation for inserting a new stage above or between existing stages in the plan tree.</t>
        </is>
      </c>
      <c r="B4" s="16" t="inlineStr">
        <is>
          <t>Laxmikant</t>
        </is>
      </c>
      <c r="C4" s="17" t="inlineStr">
        <is>
          <t>P2</t>
        </is>
      </c>
      <c r="D4" s="17" t="inlineStr">
        <is>
          <t>open</t>
        </is>
      </c>
      <c r="E4" s="18" t="n">
        <v>46286</v>
      </c>
      <c r="F4" s="16" t="inlineStr">
        <is>
          <t>intelligent-tracker</t>
        </is>
      </c>
      <c r="G4" s="16" t="inlineStr">
        <is>
          <t>Intelligent Tracker</t>
        </is>
      </c>
      <c r="H4" s="16" t="inlineStr">
        <is>
          <t>review</t>
        </is>
      </c>
      <c r="I4" s="16" t="inlineStr">
        <is>
          <t>Add validation that checks a newly inserted stage's dates against neighboring stages' start/close dates.</t>
        </is>
      </c>
      <c r="J4" s="16" t="inlineStr"/>
      <c r="K4" s="17" t="inlineStr">
        <is>
          <t>unknown</t>
        </is>
      </c>
      <c r="L4" s="16" t="inlineStr"/>
      <c r="M4" s="16" t="inlineStr"/>
      <c r="N4" s="16" t="inlineStr"/>
      <c r="O4" s="16" t="inlineStr">
        <is>
          <t>So, just okay, so we check that.</t>
        </is>
      </c>
      <c r="P4" s="16" t="inlineStr">
        <is>
          <t>based on the dates, you have to get validation, cant be based on this date or the close date over here</t>
        </is>
      </c>
      <c r="Q4" s="16" t="inlineStr"/>
      <c r="R4" s="16" t="inlineStr">
        <is>
          <t>Activity Tracker internal sync-up</t>
        </is>
      </c>
      <c r="S4" s="17" t="inlineStr">
        <is>
          <t>planned</t>
        </is>
      </c>
      <c r="T4" s="18" t="n">
        <v>46286</v>
      </c>
      <c r="U4" s="18" t="n"/>
      <c r="V4" s="18" t="n">
        <v>46286</v>
      </c>
      <c r="W4" s="16" t="inlineStr">
        <is>
          <t>2026-09-21-activity-tracker-sync.docx</t>
        </is>
      </c>
      <c r="X4" s="16" t="inlineStr">
        <is>
          <t>2026-09-21-intelligent-tracker-01</t>
        </is>
      </c>
    </row>
    <row r="5">
      <c r="A5" s="16" t="inlineStr">
        <is>
          <t>Add a 'my tasks' filter to the plan tree so team members can see only the tasks assigned to them.</t>
        </is>
      </c>
      <c r="B5" s="16" t="inlineStr">
        <is>
          <t>Laxmikant</t>
        </is>
      </c>
      <c r="C5" s="17" t="inlineStr">
        <is>
          <t>P2</t>
        </is>
      </c>
      <c r="D5" s="17" t="inlineStr">
        <is>
          <t>open</t>
        </is>
      </c>
      <c r="E5" s="18" t="n">
        <v>46286</v>
      </c>
      <c r="F5" s="16" t="inlineStr">
        <is>
          <t>intelligent-tracker</t>
        </is>
      </c>
      <c r="G5" s="16" t="inlineStr">
        <is>
          <t>Intelligent Tracker</t>
        </is>
      </c>
      <c r="H5" s="16" t="inlineStr">
        <is>
          <t>build</t>
        </is>
      </c>
      <c r="I5" s="16" t="inlineStr">
        <is>
          <t>Implement a my-tasks filter option on the plan tree screen.</t>
        </is>
      </c>
      <c r="J5" s="16" t="inlineStr"/>
      <c r="K5" s="17" t="inlineStr">
        <is>
          <t>unknown</t>
        </is>
      </c>
      <c r="L5" s="16" t="inlineStr"/>
      <c r="M5" s="16" t="inlineStr"/>
      <c r="N5" s="16" t="inlineStr"/>
      <c r="O5" s="16" t="inlineStr">
        <is>
          <t>Yes, yes, sir, we can give filters.</t>
        </is>
      </c>
      <c r="P5" s="16" t="inlineStr">
        <is>
          <t>So my task or something like that, if you can give, that makes easy, you know, life easy for them.</t>
        </is>
      </c>
      <c r="Q5" s="16" t="inlineStr"/>
      <c r="R5" s="16" t="inlineStr">
        <is>
          <t>Activity Tracker internal sync-up</t>
        </is>
      </c>
      <c r="S5" s="17" t="inlineStr">
        <is>
          <t>planned</t>
        </is>
      </c>
      <c r="T5" s="18" t="n">
        <v>46286</v>
      </c>
      <c r="U5" s="18" t="n"/>
      <c r="V5" s="18" t="n">
        <v>46286</v>
      </c>
      <c r="W5" s="16" t="inlineStr">
        <is>
          <t>2026-09-21-activity-tracker-sync.docx</t>
        </is>
      </c>
      <c r="X5" s="16" t="inlineStr">
        <is>
          <t>2026-09-21-intelligent-tracker-02</t>
        </is>
      </c>
    </row>
    <row r="6">
      <c r="A6" s="16" t="inlineStr">
        <is>
          <t>Share the full project plan through UAT with Sreekumar, including the date it will be available.</t>
        </is>
      </c>
      <c r="B6" s="16" t="inlineStr">
        <is>
          <t>Ashwini</t>
        </is>
      </c>
      <c r="C6" s="17" t="inlineStr">
        <is>
          <t>P2</t>
        </is>
      </c>
      <c r="D6" s="17" t="inlineStr">
        <is>
          <t>open</t>
        </is>
      </c>
      <c r="E6" s="18" t="n">
        <v>46287</v>
      </c>
      <c r="F6" s="16" t="inlineStr">
        <is>
          <t>intelligent-tracker</t>
        </is>
      </c>
      <c r="G6" s="16" t="inlineStr">
        <is>
          <t>Intelligent Tracker</t>
        </is>
      </c>
      <c r="H6" s="16" t="inlineStr">
        <is>
          <t>communicate</t>
        </is>
      </c>
      <c r="I6" s="16" t="inlineStr">
        <is>
          <t>Confirm the full-plan-through-UAT availability date and send it to Sreekumar.</t>
        </is>
      </c>
      <c r="J6" s="16" t="inlineStr"/>
      <c r="K6" s="17" t="inlineStr">
        <is>
          <t>1h</t>
        </is>
      </c>
      <c r="L6" s="16" t="inlineStr"/>
      <c r="M6" s="16" t="inlineStr"/>
      <c r="N6" s="16" t="inlineStr"/>
      <c r="O6" s="16" t="inlineStr">
        <is>
          <t>I just want to go through the full plan of this application till UAT.</t>
        </is>
      </c>
      <c r="P6" s="16" t="inlineStr">
        <is>
          <t>Sreekumar's request in this meeting</t>
        </is>
      </c>
      <c r="Q6" s="16" t="inlineStr"/>
      <c r="R6" s="16" t="inlineStr">
        <is>
          <t>Activity Tracker internal sync-up (2026-09-22)</t>
        </is>
      </c>
      <c r="S6" s="17" t="inlineStr">
        <is>
          <t>planned</t>
        </is>
      </c>
      <c r="T6" s="18" t="n">
        <v>46289</v>
      </c>
      <c r="U6" s="18" t="n"/>
      <c r="V6" s="18" t="n">
        <v>46287</v>
      </c>
      <c r="W6" s="16" t="inlineStr">
        <is>
          <t>Activity Tracker-Internal Sync-up.docx</t>
        </is>
      </c>
      <c r="X6" s="16" t="inlineStr">
        <is>
          <t>2026-09-22-intelligent-tracker-02</t>
        </is>
      </c>
    </row>
    <row r="7">
      <c r="A7" s="16" t="inlineStr">
        <is>
          <t>Build the checklist items and add-dependency screens in the plan tree.</t>
        </is>
      </c>
      <c r="B7" s="16" t="inlineStr">
        <is>
          <t>Laxmikant</t>
        </is>
      </c>
      <c r="C7" s="17" t="inlineStr">
        <is>
          <t>P2</t>
        </is>
      </c>
      <c r="D7" s="17" t="inlineStr">
        <is>
          <t>open</t>
        </is>
      </c>
      <c r="E7" s="18" t="n">
        <v>46289</v>
      </c>
      <c r="F7" s="16" t="inlineStr">
        <is>
          <t>intelligent-tracker</t>
        </is>
      </c>
      <c r="G7" s="16" t="inlineStr">
        <is>
          <t>Intelligent Tracker</t>
        </is>
      </c>
      <c r="H7" s="16" t="inlineStr">
        <is>
          <t>build</t>
        </is>
      </c>
      <c r="I7" s="16" t="inlineStr"/>
      <c r="J7" s="16" t="inlineStr"/>
      <c r="K7" s="17" t="inlineStr">
        <is>
          <t>unknown</t>
        </is>
      </c>
      <c r="L7" s="16" t="inlineStr"/>
      <c r="M7" s="16" t="inlineStr"/>
      <c r="N7" s="16" t="inlineStr"/>
      <c r="O7" s="16" t="inlineStr">
        <is>
          <t>Lakshmi will be working on what is it, checklist items and add dependency, whatever his screens</t>
        </is>
      </c>
      <c r="P7" s="16" t="inlineStr"/>
      <c r="Q7" s="16" t="inlineStr"/>
      <c r="R7" s="16" t="inlineStr">
        <is>
          <t>Activity Tracker internal sync-up</t>
        </is>
      </c>
      <c r="S7" s="17" t="inlineStr">
        <is>
          <t>planned</t>
        </is>
      </c>
      <c r="T7" s="18" t="n">
        <v>46289</v>
      </c>
      <c r="U7" s="18" t="n"/>
      <c r="V7" s="18" t="n">
        <v>46289</v>
      </c>
      <c r="W7" s="16" t="inlineStr">
        <is>
          <t>Activity Tracker- internal sync-up (5).docx</t>
        </is>
      </c>
      <c r="X7" s="16" t="inlineStr">
        <is>
          <t>2026-09-24-intelligent-tracker-01</t>
        </is>
      </c>
    </row>
    <row r="8">
      <c r="A8" s="16" t="inlineStr">
        <is>
          <t>Continue building the create functionality for the Change Request module.</t>
        </is>
      </c>
      <c r="B8" s="16" t="inlineStr">
        <is>
          <t>Johan</t>
        </is>
      </c>
      <c r="C8" s="17" t="inlineStr">
        <is>
          <t>P2</t>
        </is>
      </c>
      <c r="D8" s="17" t="inlineStr">
        <is>
          <t>open</t>
        </is>
      </c>
      <c r="E8" s="18" t="n">
        <v>46289</v>
      </c>
      <c r="F8" s="16" t="inlineStr">
        <is>
          <t>intelligent-tracker</t>
        </is>
      </c>
      <c r="G8" s="16" t="inlineStr">
        <is>
          <t>Intelligent Tracker</t>
        </is>
      </c>
      <c r="H8" s="16" t="inlineStr">
        <is>
          <t>build</t>
        </is>
      </c>
      <c r="I8" s="16" t="inlineStr"/>
      <c r="J8" s="16" t="inlineStr"/>
      <c r="K8" s="17" t="inlineStr">
        <is>
          <t>unknown</t>
        </is>
      </c>
      <c r="L8" s="16" t="inlineStr"/>
      <c r="M8" s="16" t="inlineStr"/>
      <c r="N8" s="16" t="inlineStr"/>
      <c r="O8" s="16" t="inlineStr">
        <is>
          <t>these Johan and Sam will be working on create functionality</t>
        </is>
      </c>
      <c r="P8" s="16" t="inlineStr"/>
      <c r="Q8" s="16" t="inlineStr"/>
      <c r="R8" s="16" t="inlineStr">
        <is>
          <t>Activity Tracker internal sync-up</t>
        </is>
      </c>
      <c r="S8" s="17" t="inlineStr">
        <is>
          <t>planned</t>
        </is>
      </c>
      <c r="T8" s="18" t="n">
        <v>46289</v>
      </c>
      <c r="U8" s="18" t="n"/>
      <c r="V8" s="18" t="n">
        <v>46289</v>
      </c>
      <c r="W8" s="16" t="inlineStr">
        <is>
          <t>Activity Tracker- internal sync-up (5).docx</t>
        </is>
      </c>
      <c r="X8" s="16" t="inlineStr">
        <is>
          <t>2026-09-24-intelligent-tracker-02</t>
        </is>
      </c>
    </row>
    <row r="9">
      <c r="A9" s="16" t="inlineStr">
        <is>
          <t>Continue building the create functionality for the Issues module.</t>
        </is>
      </c>
      <c r="B9" s="16" t="inlineStr">
        <is>
          <t>Samuel</t>
        </is>
      </c>
      <c r="C9" s="17" t="inlineStr">
        <is>
          <t>P2</t>
        </is>
      </c>
      <c r="D9" s="17" t="inlineStr">
        <is>
          <t>open</t>
        </is>
      </c>
      <c r="E9" s="18" t="n">
        <v>46289</v>
      </c>
      <c r="F9" s="16" t="inlineStr">
        <is>
          <t>intelligent-tracker</t>
        </is>
      </c>
      <c r="G9" s="16" t="inlineStr">
        <is>
          <t>Intelligent Tracker</t>
        </is>
      </c>
      <c r="H9" s="16" t="inlineStr">
        <is>
          <t>build</t>
        </is>
      </c>
      <c r="I9" s="16" t="inlineStr"/>
      <c r="J9" s="16" t="inlineStr"/>
      <c r="K9" s="17" t="inlineStr">
        <is>
          <t>unknown</t>
        </is>
      </c>
      <c r="L9" s="16" t="inlineStr"/>
      <c r="M9" s="16" t="inlineStr"/>
      <c r="N9" s="16" t="inlineStr"/>
      <c r="O9" s="16" t="inlineStr">
        <is>
          <t>these Johan and Sam will be working on create functionality</t>
        </is>
      </c>
      <c r="P9" s="16" t="inlineStr"/>
      <c r="Q9" s="16" t="inlineStr"/>
      <c r="R9" s="16" t="inlineStr">
        <is>
          <t>Activity Tracker internal sync-up</t>
        </is>
      </c>
      <c r="S9" s="17" t="inlineStr">
        <is>
          <t>planned</t>
        </is>
      </c>
      <c r="T9" s="18" t="n">
        <v>46289</v>
      </c>
      <c r="U9" s="18" t="n"/>
      <c r="V9" s="18" t="n">
        <v>46289</v>
      </c>
      <c r="W9" s="16" t="inlineStr">
        <is>
          <t>Activity Tracker- internal sync-up (5).docx</t>
        </is>
      </c>
      <c r="X9" s="16" t="inlineStr">
        <is>
          <t>2026-09-24-intelligent-tracker-03</t>
        </is>
      </c>
    </row>
    <row r="10">
      <c r="A10" s="16" t="inlineStr">
        <is>
          <t>Send a group mail summarizing today's roadblocks.</t>
        </is>
      </c>
      <c r="B10" s="16" t="inlineStr">
        <is>
          <t>Ashwini</t>
        </is>
      </c>
      <c r="C10" s="17" t="inlineStr">
        <is>
          <t>P2</t>
        </is>
      </c>
      <c r="D10" s="17" t="inlineStr">
        <is>
          <t>open</t>
        </is>
      </c>
      <c r="E10" s="18" t="n">
        <v>46289</v>
      </c>
      <c r="F10" s="16" t="inlineStr">
        <is>
          <t>intelligent-tracker</t>
        </is>
      </c>
      <c r="G10" s="16" t="inlineStr">
        <is>
          <t>Intelligent Tracker</t>
        </is>
      </c>
      <c r="H10" s="16" t="inlineStr">
        <is>
          <t>communicate</t>
        </is>
      </c>
      <c r="I10" s="16" t="inlineStr"/>
      <c r="J10" s="16" t="inlineStr"/>
      <c r="K10" s="17" t="inlineStr">
        <is>
          <t>15m</t>
        </is>
      </c>
      <c r="L10" s="16" t="inlineStr"/>
      <c r="M10" s="16" t="inlineStr"/>
      <c r="N10" s="16" t="inlineStr"/>
      <c r="O10" s="16" t="inlineStr">
        <is>
          <t>The road breaks are happening, then just, I'll put that in group mail, actually.</t>
        </is>
      </c>
      <c r="P10" s="16" t="inlineStr"/>
      <c r="Q10" s="16" t="inlineStr"/>
      <c r="R10" s="16" t="inlineStr">
        <is>
          <t>Activity Tracker internal sync-up</t>
        </is>
      </c>
      <c r="S10" s="17" t="inlineStr">
        <is>
          <t>planned</t>
        </is>
      </c>
      <c r="T10" s="18" t="n">
        <v>46289</v>
      </c>
      <c r="U10" s="18" t="n"/>
      <c r="V10" s="18" t="n">
        <v>46289</v>
      </c>
      <c r="W10" s="16" t="inlineStr">
        <is>
          <t>Activity Tracker- internal sync-up (5).docx</t>
        </is>
      </c>
      <c r="X10" s="16" t="inlineStr">
        <is>
          <t>2026-09-24-intelligent-tracker-04</t>
        </is>
      </c>
    </row>
    <row r="11">
      <c r="A11" s="16" t="inlineStr">
        <is>
          <t>Review the CAPA workflow document comparing Azure DevOps, Viva Vault and SAP in detail.</t>
        </is>
      </c>
      <c r="B11" s="16" t="inlineStr">
        <is>
          <t>Aswin</t>
        </is>
      </c>
      <c r="C11" s="17" t="inlineStr">
        <is>
          <t>P2</t>
        </is>
      </c>
      <c r="D11" s="17" t="inlineStr">
        <is>
          <t>open</t>
        </is>
      </c>
      <c r="E11" s="18" t="n">
        <v>46290</v>
      </c>
      <c r="F11" s="16" t="inlineStr">
        <is>
          <t>unassigned</t>
        </is>
      </c>
      <c r="G11" s="16" t="inlineStr">
        <is>
          <t>unassigned</t>
        </is>
      </c>
      <c r="H11" s="16" t="inlineStr">
        <is>
          <t>review</t>
        </is>
      </c>
      <c r="I11" s="16" t="inlineStr"/>
      <c r="J11" s="16" t="inlineStr"/>
      <c r="K11" s="17" t="inlineStr">
        <is>
          <t>unknown</t>
        </is>
      </c>
      <c r="L11" s="16" t="inlineStr"/>
      <c r="M11" s="16" t="inlineStr"/>
      <c r="N11" s="16" t="inlineStr"/>
      <c r="O11" s="16" t="inlineStr">
        <is>
          <t>even I have to go through this workflow in detail</t>
        </is>
      </c>
      <c r="P11" s="16" t="inlineStr"/>
      <c r="Q11" s="16" t="inlineStr">
        <is>
          <t>owner unknown: Aswin</t>
        </is>
      </c>
      <c r="R11" s="16" t="inlineStr">
        <is>
          <t>CAPA - Discussion On Existing System's</t>
        </is>
      </c>
      <c r="S11" s="17" t="inlineStr">
        <is>
          <t>planned</t>
        </is>
      </c>
      <c r="T11" s="18" t="n">
        <v>46290</v>
      </c>
      <c r="U11" s="18" t="n"/>
      <c r="V11" s="18" t="n">
        <v>46290</v>
      </c>
      <c r="W11" s="16" t="inlineStr">
        <is>
          <t>CAPA - Discussion On Existing System's .docx</t>
        </is>
      </c>
      <c r="X11" s="16" t="inlineStr">
        <is>
          <t>2026-09-25-unassigned-01</t>
        </is>
      </c>
    </row>
    <row r="12">
      <c r="A12" s="16" t="inlineStr">
        <is>
          <t>Check off items on the shared list comparing existing CAPA systems.</t>
        </is>
      </c>
      <c r="B12" s="16" t="inlineStr">
        <is>
          <t>Thenappan</t>
        </is>
      </c>
      <c r="C12" s="17" t="inlineStr">
        <is>
          <t>P2</t>
        </is>
      </c>
      <c r="D12" s="17" t="inlineStr">
        <is>
          <t>open</t>
        </is>
      </c>
      <c r="E12" s="18" t="n">
        <v>46290</v>
      </c>
      <c r="F12" s="16" t="inlineStr">
        <is>
          <t>unassigned</t>
        </is>
      </c>
      <c r="G12" s="16" t="inlineStr">
        <is>
          <t>unassigned</t>
        </is>
      </c>
      <c r="H12" s="16" t="inlineStr">
        <is>
          <t>review</t>
        </is>
      </c>
      <c r="I12" s="16" t="inlineStr"/>
      <c r="J12" s="16" t="inlineStr"/>
      <c r="K12" s="17" t="inlineStr">
        <is>
          <t>unknown</t>
        </is>
      </c>
      <c r="L12" s="16" t="inlineStr"/>
      <c r="M12" s="16" t="inlineStr"/>
      <c r="N12" s="16" t="inlineStr"/>
      <c r="O12" s="16" t="inlineStr">
        <is>
          <t>So I'll just cheque it off</t>
        </is>
      </c>
      <c r="P12" s="16" t="inlineStr"/>
      <c r="Q12" s="16" t="inlineStr">
        <is>
          <t>owner unknown: Thenappan</t>
        </is>
      </c>
      <c r="R12" s="16" t="inlineStr">
        <is>
          <t>CAPA - Discussion On Existing System's</t>
        </is>
      </c>
      <c r="S12" s="17" t="inlineStr">
        <is>
          <t>planned</t>
        </is>
      </c>
      <c r="T12" s="18" t="n">
        <v>46290</v>
      </c>
      <c r="U12" s="18" t="n"/>
      <c r="V12" s="18" t="n">
        <v>46290</v>
      </c>
      <c r="W12" s="16" t="inlineStr">
        <is>
          <t>CAPA - Discussion On Existing System's .docx</t>
        </is>
      </c>
      <c r="X12" s="16" t="inlineStr">
        <is>
          <t>2026-09-25-unassigned-02</t>
        </is>
      </c>
    </row>
    <row r="13">
      <c r="A13" s="16" t="inlineStr">
        <is>
          <t>Add newly identified system-comparison items to the shared Excel file with Thenappan.</t>
        </is>
      </c>
      <c r="B13" s="16" t="inlineStr">
        <is>
          <t>Aswin</t>
        </is>
      </c>
      <c r="C13" s="17" t="inlineStr">
        <is>
          <t>P2</t>
        </is>
      </c>
      <c r="D13" s="17" t="inlineStr">
        <is>
          <t>open</t>
        </is>
      </c>
      <c r="E13" s="18" t="n">
        <v>46290</v>
      </c>
      <c r="F13" s="16" t="inlineStr">
        <is>
          <t>unassigned</t>
        </is>
      </c>
      <c r="G13" s="16" t="inlineStr">
        <is>
          <t>unassigned</t>
        </is>
      </c>
      <c r="H13" s="16" t="inlineStr">
        <is>
          <t>coordinate</t>
        </is>
      </c>
      <c r="I13" s="16" t="inlineStr"/>
      <c r="J13" s="16" t="inlineStr"/>
      <c r="K13" s="17" t="inlineStr">
        <is>
          <t>unknown</t>
        </is>
      </c>
      <c r="L13" s="16" t="inlineStr"/>
      <c r="M13" s="16" t="inlineStr"/>
      <c r="N13" s="16" t="inlineStr"/>
      <c r="O13" s="16" t="inlineStr">
        <is>
          <t>we can get a few more things, then we will add it in the same Excel</t>
        </is>
      </c>
      <c r="P13" s="16" t="inlineStr"/>
      <c r="Q13" s="16" t="inlineStr">
        <is>
          <t>owner unknown: Aswin</t>
        </is>
      </c>
      <c r="R13" s="16" t="inlineStr">
        <is>
          <t>CAPA - Discussion On Existing System's</t>
        </is>
      </c>
      <c r="S13" s="17" t="inlineStr">
        <is>
          <t>planned</t>
        </is>
      </c>
      <c r="T13" s="18" t="n">
        <v>46290</v>
      </c>
      <c r="U13" s="18" t="n"/>
      <c r="V13" s="18" t="n">
        <v>46290</v>
      </c>
      <c r="W13" s="16" t="inlineStr">
        <is>
          <t>CAPA - Discussion On Existing System's .docx</t>
        </is>
      </c>
      <c r="X13" s="16" t="inlineStr">
        <is>
          <t>2026-09-25-unassigned-03</t>
        </is>
      </c>
    </row>
    <row r="14">
      <c r="A14" s="16" t="inlineStr">
        <is>
          <t>Publish a weekly plan every Monday showing the team's planned activities and dates.</t>
        </is>
      </c>
      <c r="B14" s="16" t="inlineStr">
        <is>
          <t>Ashwini</t>
        </is>
      </c>
      <c r="C14" s="17" t="inlineStr">
        <is>
          <t>P2</t>
        </is>
      </c>
      <c r="D14" s="17" t="inlineStr">
        <is>
          <t>open</t>
        </is>
      </c>
      <c r="E14" s="18" t="n">
        <v>46293</v>
      </c>
      <c r="F14" s="16" t="inlineStr">
        <is>
          <t>intelligent-tracker</t>
        </is>
      </c>
      <c r="G14" s="16" t="inlineStr">
        <is>
          <t>Intelligent Tracker</t>
        </is>
      </c>
      <c r="H14" s="16" t="inlineStr">
        <is>
          <t>communicate</t>
        </is>
      </c>
      <c r="I14" s="16" t="inlineStr">
        <is>
          <t>Draft and share the first weekly plan covering the week starting September 28.</t>
        </is>
      </c>
      <c r="J14" s="16" t="inlineStr"/>
      <c r="K14" s="17" t="inlineStr">
        <is>
          <t>1h</t>
        </is>
      </c>
      <c r="L14" s="16" t="inlineStr"/>
      <c r="M14" s="16" t="inlineStr"/>
      <c r="N14" s="16" t="inlineStr"/>
      <c r="O14" s="16" t="inlineStr">
        <is>
          <t>I want you to publish a weekly plan going forward from every Monday.</t>
        </is>
      </c>
      <c r="P14" s="16" t="inlineStr">
        <is>
          <t>Sreekumar's directive in this meeting</t>
        </is>
      </c>
      <c r="Q14" s="16" t="inlineStr"/>
      <c r="R14" s="16" t="inlineStr">
        <is>
          <t>Activity Tracker internal sync-up (2026-09-22)</t>
        </is>
      </c>
      <c r="S14" s="17" t="inlineStr">
        <is>
          <t>planned</t>
        </is>
      </c>
      <c r="T14" s="18" t="n">
        <v>46289</v>
      </c>
      <c r="U14" s="18" t="n"/>
      <c r="V14" s="18" t="n">
        <v>46287</v>
      </c>
      <c r="W14" s="16" t="inlineStr">
        <is>
          <t>Activity Tracker-Internal Sync-up.docx</t>
        </is>
      </c>
      <c r="X14" s="16" t="inlineStr">
        <is>
          <t>2026-09-22-intelligent-tracker-01</t>
        </is>
      </c>
    </row>
    <row r="15">
      <c r="A15" s="16" t="inlineStr">
        <is>
          <t>Add a rework checkbox to tasks created under an issue, defaulting to checked, editable per task by the TL or PM.</t>
        </is>
      </c>
      <c r="B15" s="16" t="inlineStr">
        <is>
          <t>Samuel</t>
        </is>
      </c>
      <c r="C15" s="17" t="inlineStr">
        <is>
          <t>P2</t>
        </is>
      </c>
      <c r="D15" s="17" t="inlineStr">
        <is>
          <t>open</t>
        </is>
      </c>
      <c r="E15" s="18" t="n"/>
      <c r="F15" s="16" t="inlineStr">
        <is>
          <t>intelligent-tracker</t>
        </is>
      </c>
      <c r="G15" s="16" t="inlineStr">
        <is>
          <t>Intelligent Tracker</t>
        </is>
      </c>
      <c r="H15" s="16" t="inlineStr">
        <is>
          <t>build</t>
        </is>
      </c>
      <c r="I15" s="16" t="inlineStr">
        <is>
          <t>Add the rework checkbox to the task creation form in the Issues module, default checked, with TL/PM override per task.</t>
        </is>
      </c>
      <c r="J15" s="16" t="inlineStr"/>
      <c r="K15" s="17" t="inlineStr">
        <is>
          <t>half-day</t>
        </is>
      </c>
      <c r="L15" s="16" t="inlineStr"/>
      <c r="M15" s="16" t="inlineStr"/>
      <c r="N15" s="16" t="inlineStr"/>
      <c r="O15" s="16" t="inlineStr">
        <is>
          <t>By default, let it be a rework, but the TL or the project manager can make it not a rework.</t>
        </is>
      </c>
      <c r="P15" s="16" t="inlineStr">
        <is>
          <t>Sreekumar's rework checkbox decision in this meeting</t>
        </is>
      </c>
      <c r="Q15" s="16" t="inlineStr"/>
      <c r="R15" s="16" t="inlineStr">
        <is>
          <t>Activity Tracker internal sync-up (2026-09-22)</t>
        </is>
      </c>
      <c r="S15" s="17" t="inlineStr">
        <is>
          <t>planned</t>
        </is>
      </c>
      <c r="T15" s="18" t="n">
        <v>46289</v>
      </c>
      <c r="U15" s="18" t="n"/>
      <c r="V15" s="18" t="n">
        <v>46287</v>
      </c>
      <c r="W15" s="16" t="inlineStr">
        <is>
          <t>Activity Tracker-Internal Sync-up.docx</t>
        </is>
      </c>
      <c r="X15" s="16" t="inlineStr">
        <is>
          <t>2026-09-22-intelligent-tracker-03</t>
        </is>
      </c>
    </row>
    <row r="16">
      <c r="A16" s="16" t="inlineStr">
        <is>
          <t>Decide with Thenappan which existing system approach is best and report the choice to the team.</t>
        </is>
      </c>
      <c r="B16" s="16" t="inlineStr">
        <is>
          <t>Aswin</t>
        </is>
      </c>
      <c r="C16" s="17" t="inlineStr">
        <is>
          <t>P3</t>
        </is>
      </c>
      <c r="D16" s="17" t="inlineStr">
        <is>
          <t>open</t>
        </is>
      </c>
      <c r="E16" s="18" t="n"/>
      <c r="F16" s="16" t="inlineStr">
        <is>
          <t>unassigned</t>
        </is>
      </c>
      <c r="G16" s="16" t="inlineStr">
        <is>
          <t>unassigned</t>
        </is>
      </c>
      <c r="H16" s="16" t="inlineStr">
        <is>
          <t>decide</t>
        </is>
      </c>
      <c r="I16" s="16" t="inlineStr"/>
      <c r="J16" s="16" t="inlineStr"/>
      <c r="K16" s="17" t="inlineStr">
        <is>
          <t>unknown</t>
        </is>
      </c>
      <c r="L16" s="16" t="inlineStr"/>
      <c r="M16" s="16" t="inlineStr"/>
      <c r="N16" s="16" t="inlineStr"/>
      <c r="O16" s="16" t="inlineStr">
        <is>
          <t>In time, I will update, which I feel is better, OK</t>
        </is>
      </c>
      <c r="P16" s="16" t="inlineStr"/>
      <c r="Q16" s="16" t="inlineStr">
        <is>
          <t>owner unknown: Aswin</t>
        </is>
      </c>
      <c r="R16" s="16" t="inlineStr">
        <is>
          <t>CAPA - Discussion On Existing System's</t>
        </is>
      </c>
      <c r="S16" s="17" t="inlineStr">
        <is>
          <t>planned</t>
        </is>
      </c>
      <c r="T16" s="18" t="n">
        <v>46290</v>
      </c>
      <c r="U16" s="18" t="n"/>
      <c r="V16" s="18" t="n">
        <v>46290</v>
      </c>
      <c r="W16" s="16" t="inlineStr">
        <is>
          <t>CAPA - Discussion On Existing System's .docx</t>
        </is>
      </c>
      <c r="X16" s="16" t="inlineStr">
        <is>
          <t>2026-09-25-unassigned-04</t>
        </is>
      </c>
    </row>
    <row r="17">
      <c r="A17" s="16" t="inlineStr">
        <is>
          <t>Sign off on the reviewed database design after today's walkthrough.</t>
        </is>
      </c>
      <c r="B17" s="16" t="inlineStr">
        <is>
          <t>Ashwini</t>
        </is>
      </c>
      <c r="C17" s="17" t="inlineStr">
        <is>
          <t>P1</t>
        </is>
      </c>
      <c r="D17" s="17" t="inlineStr">
        <is>
          <t>done</t>
        </is>
      </c>
      <c r="E17" s="18" t="n">
        <v>46276</v>
      </c>
      <c r="F17" s="16" t="inlineStr">
        <is>
          <t>intelligent-tracker</t>
        </is>
      </c>
      <c r="G17" s="16" t="inlineStr">
        <is>
          <t>Intelligent Tracker</t>
        </is>
      </c>
      <c r="H17" s="16" t="inlineStr"/>
      <c r="I17" s="16" t="inlineStr"/>
      <c r="J17" s="16" t="inlineStr"/>
      <c r="K17" s="17" t="inlineStr"/>
      <c r="L17" s="16" t="inlineStr"/>
      <c r="M17" s="16" t="inlineStr"/>
      <c r="N17" s="16" t="inlineStr"/>
      <c r="O17" s="16" t="inlineStr">
        <is>
          <t>I will be signing off on the Debi after the review</t>
        </is>
      </c>
      <c r="P17" s="16" t="inlineStr"/>
      <c r="Q17" s="16" t="inlineStr"/>
      <c r="R17" s="16" t="inlineStr">
        <is>
          <t>Activity Tracker internal sync-up</t>
        </is>
      </c>
      <c r="S17" s="17" t="inlineStr">
        <is>
          <t>planned</t>
        </is>
      </c>
      <c r="T17" s="18" t="n">
        <v>46282</v>
      </c>
      <c r="U17" s="18" t="n">
        <v>46282</v>
      </c>
      <c r="V17" s="18" t="n">
        <v>46276</v>
      </c>
      <c r="W17" s="16" t="inlineStr">
        <is>
          <t>2026-09-11-activity-tracker-sync.md</t>
        </is>
      </c>
      <c r="X17" s="16" t="inlineStr">
        <is>
          <t>2026-09-11-intelligent-tracker-01</t>
        </is>
      </c>
    </row>
    <row r="18">
      <c r="A18" s="16" t="inlineStr">
        <is>
          <t>Work with Ashwini on the overall workflow solution design document.</t>
        </is>
      </c>
      <c r="B18" s="16" t="inlineStr">
        <is>
          <t>Laxmikant</t>
        </is>
      </c>
      <c r="C18" s="17" t="inlineStr">
        <is>
          <t>P1</t>
        </is>
      </c>
      <c r="D18" s="17" t="inlineStr">
        <is>
          <t>done</t>
        </is>
      </c>
      <c r="E18" s="18" t="n">
        <v>46276</v>
      </c>
      <c r="F18" s="16" t="inlineStr">
        <is>
          <t>intelligent-tracker</t>
        </is>
      </c>
      <c r="G18" s="16" t="inlineStr">
        <is>
          <t>Intelligent Tracker</t>
        </is>
      </c>
      <c r="H18" s="16" t="inlineStr"/>
      <c r="I18" s="16" t="inlineStr"/>
      <c r="J18" s="16" t="inlineStr"/>
      <c r="K18" s="17" t="inlineStr"/>
      <c r="L18" s="16" t="inlineStr"/>
      <c r="M18" s="16" t="inlineStr"/>
      <c r="N18" s="16" t="inlineStr"/>
      <c r="O18" s="16" t="inlineStr">
        <is>
          <t>Lakshmi and I will be working on the proper workflow solution design</t>
        </is>
      </c>
      <c r="P18" s="16" t="inlineStr"/>
      <c r="Q18" s="16" t="inlineStr"/>
      <c r="R18" s="16" t="inlineStr">
        <is>
          <t>Activity Tracker internal sync-up</t>
        </is>
      </c>
      <c r="S18" s="17" t="inlineStr">
        <is>
          <t>planned</t>
        </is>
      </c>
      <c r="T18" s="18" t="n">
        <v>46282</v>
      </c>
      <c r="U18" s="18" t="n">
        <v>46282</v>
      </c>
      <c r="V18" s="18" t="n">
        <v>46276</v>
      </c>
      <c r="W18" s="16" t="inlineStr">
        <is>
          <t>2026-09-11-activity-tracker-sync.md</t>
        </is>
      </c>
      <c r="X18" s="16" t="inlineStr">
        <is>
          <t>2026-09-11-intelligent-tracker-04</t>
        </is>
      </c>
    </row>
    <row r="19">
      <c r="A19" s="16" t="inlineStr">
        <is>
          <t>Change the CR Notes field UI from a single-line text box to a multi-line text box as Sreekumar requested.</t>
        </is>
      </c>
      <c r="B19" s="16" t="inlineStr">
        <is>
          <t>Johan</t>
        </is>
      </c>
      <c r="C19" s="17" t="inlineStr">
        <is>
          <t>P1</t>
        </is>
      </c>
      <c r="D19" s="17" t="inlineStr">
        <is>
          <t>done</t>
        </is>
      </c>
      <c r="E19" s="18" t="n">
        <v>46276</v>
      </c>
      <c r="F19" s="16" t="inlineStr">
        <is>
          <t>intelligent-tracker</t>
        </is>
      </c>
      <c r="G19" s="16" t="inlineStr">
        <is>
          <t>Intelligent Tracker</t>
        </is>
      </c>
      <c r="H19" s="16" t="inlineStr"/>
      <c r="I19" s="16" t="inlineStr"/>
      <c r="J19" s="16" t="inlineStr"/>
      <c r="K19" s="17" t="inlineStr"/>
      <c r="L19" s="16" t="inlineStr"/>
      <c r="M19" s="16" t="inlineStr"/>
      <c r="N19" s="16" t="inlineStr"/>
      <c r="O19" s="16" t="inlineStr">
        <is>
          <t>Change the UI. I'll change it.</t>
        </is>
      </c>
      <c r="P19" s="16" t="inlineStr"/>
      <c r="Q19" s="16" t="inlineStr"/>
      <c r="R19" s="16" t="inlineStr">
        <is>
          <t>Activity Tracker internal sync-up</t>
        </is>
      </c>
      <c r="S19" s="17" t="inlineStr">
        <is>
          <t>planned</t>
        </is>
      </c>
      <c r="T19" s="18" t="n">
        <v>46282</v>
      </c>
      <c r="U19" s="18" t="n">
        <v>46282</v>
      </c>
      <c r="V19" s="18" t="n">
        <v>46276</v>
      </c>
      <c r="W19" s="16" t="inlineStr">
        <is>
          <t>2026-09-11-activity-tracker-sync.md</t>
        </is>
      </c>
      <c r="X19" s="16" t="inlineStr">
        <is>
          <t>2026-09-11-intelligent-tracker-05</t>
        </is>
      </c>
    </row>
    <row r="20">
      <c r="A20" s="16" t="inlineStr">
        <is>
          <t>Write detailed user stories for the Change Request module workflow and share them with Ashwini and Laxmikant.</t>
        </is>
      </c>
      <c r="B20" s="16" t="inlineStr">
        <is>
          <t>Johan</t>
        </is>
      </c>
      <c r="C20" s="17" t="inlineStr">
        <is>
          <t>P1</t>
        </is>
      </c>
      <c r="D20" s="17" t="inlineStr">
        <is>
          <t>done</t>
        </is>
      </c>
      <c r="E20" s="18" t="n">
        <v>46276</v>
      </c>
      <c r="F20" s="16" t="inlineStr">
        <is>
          <t>intelligent-tracker</t>
        </is>
      </c>
      <c r="G20" s="16" t="inlineStr">
        <is>
          <t>Intelligent Tracker</t>
        </is>
      </c>
      <c r="H20" s="16" t="inlineStr"/>
      <c r="I20" s="16" t="inlineStr"/>
      <c r="J20" s="16" t="inlineStr"/>
      <c r="K20" s="17" t="inlineStr"/>
      <c r="L20" s="16" t="inlineStr"/>
      <c r="M20" s="16" t="inlineStr"/>
      <c r="N20" s="16" t="inlineStr"/>
      <c r="O20" s="16" t="inlineStr">
        <is>
          <t>you share it to Ashwini B and Lakshmi Lakshmi</t>
        </is>
      </c>
      <c r="P20" s="16" t="inlineStr"/>
      <c r="Q20" s="16" t="inlineStr"/>
      <c r="R20" s="16" t="inlineStr">
        <is>
          <t>Activity Tracker internal sync-up</t>
        </is>
      </c>
      <c r="S20" s="17" t="inlineStr">
        <is>
          <t>planned</t>
        </is>
      </c>
      <c r="T20" s="18" t="n">
        <v>46282</v>
      </c>
      <c r="U20" s="18" t="n">
        <v>46282</v>
      </c>
      <c r="V20" s="18" t="n">
        <v>46276</v>
      </c>
      <c r="W20" s="16" t="inlineStr">
        <is>
          <t>2026-09-11-activity-tracker-sync.md</t>
        </is>
      </c>
      <c r="X20" s="16" t="inlineStr">
        <is>
          <t>2026-09-11-intelligent-tracker-06</t>
        </is>
      </c>
    </row>
    <row r="21">
      <c r="A21" s="16" t="inlineStr">
        <is>
          <t>Write detailed user stories for the Issues module workflow and present them to Ayush.</t>
        </is>
      </c>
      <c r="B21" s="16" t="inlineStr">
        <is>
          <t>Samuel</t>
        </is>
      </c>
      <c r="C21" s="17" t="inlineStr">
        <is>
          <t>P1</t>
        </is>
      </c>
      <c r="D21" s="17" t="inlineStr">
        <is>
          <t>done</t>
        </is>
      </c>
      <c r="E21" s="18" t="n">
        <v>46276</v>
      </c>
      <c r="F21" s="16" t="inlineStr">
        <is>
          <t>intelligent-tracker</t>
        </is>
      </c>
      <c r="G21" s="16" t="inlineStr">
        <is>
          <t>Intelligent Tracker</t>
        </is>
      </c>
      <c r="H21" s="16" t="inlineStr"/>
      <c r="I21" s="16" t="inlineStr"/>
      <c r="J21" s="16" t="inlineStr"/>
      <c r="K21" s="17" t="inlineStr"/>
      <c r="L21" s="16" t="inlineStr"/>
      <c r="M21" s="16" t="inlineStr"/>
      <c r="N21" s="16" t="inlineStr"/>
      <c r="O21" s="16" t="inlineStr">
        <is>
          <t>user stories you figure out and you show me</t>
        </is>
      </c>
      <c r="P21" s="16" t="inlineStr"/>
      <c r="Q21" s="16" t="inlineStr"/>
      <c r="R21" s="16" t="inlineStr">
        <is>
          <t>Activity Tracker internal sync-up</t>
        </is>
      </c>
      <c r="S21" s="17" t="inlineStr">
        <is>
          <t>planned</t>
        </is>
      </c>
      <c r="T21" s="18" t="n">
        <v>46282</v>
      </c>
      <c r="U21" s="18" t="n">
        <v>46282</v>
      </c>
      <c r="V21" s="18" t="n">
        <v>46276</v>
      </c>
      <c r="W21" s="16" t="inlineStr">
        <is>
          <t>2026-09-11-activity-tracker-sync.md</t>
        </is>
      </c>
      <c r="X21" s="16" t="inlineStr">
        <is>
          <t>2026-09-11-intelligent-tracker-07</t>
        </is>
      </c>
    </row>
    <row r="22">
      <c r="A22" s="16" t="inlineStr">
        <is>
          <t>Complete the SharePoint list configuration for the DB changes made last Friday and update the UI design to match.</t>
        </is>
      </c>
      <c r="B22" s="16" t="inlineStr">
        <is>
          <t>Laxmikant</t>
        </is>
      </c>
      <c r="C22" s="17" t="inlineStr">
        <is>
          <t>P1</t>
        </is>
      </c>
      <c r="D22" s="17" t="inlineStr">
        <is>
          <t>done</t>
        </is>
      </c>
      <c r="E22" s="18" t="n">
        <v>46280</v>
      </c>
      <c r="F22" s="16" t="inlineStr">
        <is>
          <t>intelligent-tracker</t>
        </is>
      </c>
      <c r="G22" s="16" t="inlineStr">
        <is>
          <t>Intelligent Tracker</t>
        </is>
      </c>
      <c r="H22" s="16" t="inlineStr"/>
      <c r="I22" s="16" t="inlineStr"/>
      <c r="J22" s="16" t="inlineStr"/>
      <c r="K22" s="17" t="inlineStr"/>
      <c r="L22" s="16" t="inlineStr"/>
      <c r="M22" s="16" t="inlineStr"/>
      <c r="N22" s="16" t="inlineStr"/>
      <c r="O22" s="16" t="inlineStr">
        <is>
          <t>Lakshmi will be doing the SharePoint configuration, whatever related to DB changes last Friday we did.</t>
        </is>
      </c>
      <c r="P22" s="16" t="inlineStr"/>
      <c r="Q22" s="16" t="inlineStr"/>
      <c r="R22" s="16" t="inlineStr">
        <is>
          <t>Activity Tracker internal sync-up</t>
        </is>
      </c>
      <c r="S22" s="17" t="inlineStr">
        <is>
          <t>planned</t>
        </is>
      </c>
      <c r="T22" s="18" t="n">
        <v>46282</v>
      </c>
      <c r="U22" s="18" t="n">
        <v>46282</v>
      </c>
      <c r="V22" s="18" t="n">
        <v>46280</v>
      </c>
      <c r="W22" s="16" t="inlineStr">
        <is>
          <t>2026-09-15-activity-tracker-sync.md</t>
        </is>
      </c>
      <c r="X22" s="16" t="inlineStr">
        <is>
          <t>2026-09-15-intelligent-tracker-01</t>
        </is>
      </c>
    </row>
    <row r="23">
      <c r="A23" s="16" t="inlineStr">
        <is>
          <t>Update the Issues module UI design and start Canvas development once it is complete.</t>
        </is>
      </c>
      <c r="B23" s="16" t="inlineStr">
        <is>
          <t>Samuel</t>
        </is>
      </c>
      <c r="C23" s="17" t="inlineStr">
        <is>
          <t>P1</t>
        </is>
      </c>
      <c r="D23" s="17" t="inlineStr">
        <is>
          <t>done</t>
        </is>
      </c>
      <c r="E23" s="18" t="n">
        <v>46281</v>
      </c>
      <c r="F23" s="16" t="inlineStr">
        <is>
          <t>intelligent-tracker</t>
        </is>
      </c>
      <c r="G23" s="16" t="inlineStr">
        <is>
          <t>Intelligent Tracker</t>
        </is>
      </c>
      <c r="H23" s="16" t="inlineStr"/>
      <c r="I23" s="16" t="inlineStr"/>
      <c r="J23" s="16" t="inlineStr"/>
      <c r="K23" s="17" t="inlineStr"/>
      <c r="L23" s="16" t="inlineStr"/>
      <c r="M23" s="16" t="inlineStr"/>
      <c r="N23" s="16" t="inlineStr">
        <is>
          <t>2026-09-16: Sreekumar added new review points (root cause, resolution, attachment capture, status dropdown) that must be incorporated before this task is complete; due date extended to today.</t>
        </is>
      </c>
      <c r="O23" s="16" t="inlineStr">
        <is>
          <t>Samuel also, he will update the UI design. So if it is done, so he will start with the development.</t>
        </is>
      </c>
      <c r="P23" s="16" t="inlineStr"/>
      <c r="Q23" s="16" t="inlineStr"/>
      <c r="R23" s="16" t="inlineStr">
        <is>
          <t>Activity Tracker internal sync-up</t>
        </is>
      </c>
      <c r="S23" s="17" t="inlineStr">
        <is>
          <t>planned</t>
        </is>
      </c>
      <c r="T23" s="18" t="n">
        <v>46283</v>
      </c>
      <c r="U23" s="18" t="n">
        <v>46283</v>
      </c>
      <c r="V23" s="18" t="n">
        <v>46280</v>
      </c>
      <c r="W23" s="16" t="inlineStr">
        <is>
          <t>2026-09-15-activity-tracker-sync.md</t>
        </is>
      </c>
      <c r="X23" s="16" t="inlineStr">
        <is>
          <t>2026-09-15-intelligent-tracker-02</t>
        </is>
      </c>
    </row>
    <row r="24">
      <c r="A24" s="16" t="inlineStr">
        <is>
          <t>Add the currency selector column to the CR entry screen UI (currently only present in the impact analysis view).</t>
        </is>
      </c>
      <c r="B24" s="16" t="inlineStr">
        <is>
          <t>Johan</t>
        </is>
      </c>
      <c r="C24" s="17" t="inlineStr">
        <is>
          <t>P1</t>
        </is>
      </c>
      <c r="D24" s="17" t="inlineStr">
        <is>
          <t>done</t>
        </is>
      </c>
      <c r="E24" s="18" t="n">
        <v>46281</v>
      </c>
      <c r="F24" s="16" t="inlineStr">
        <is>
          <t>intelligent-tracker</t>
        </is>
      </c>
      <c r="G24" s="16" t="inlineStr">
        <is>
          <t>Intelligent Tracker</t>
        </is>
      </c>
      <c r="H24" s="16" t="inlineStr"/>
      <c r="I24" s="16" t="inlineStr"/>
      <c r="J24" s="16" t="inlineStr"/>
      <c r="K24" s="17" t="inlineStr"/>
      <c r="L24" s="16" t="inlineStr"/>
      <c r="M24" s="16" t="inlineStr"/>
      <c r="N24" s="16" t="inlineStr"/>
      <c r="O24" s="16" t="inlineStr">
        <is>
          <t>you'll be adding that column in that entry screen, CR entry screen. It is not there now.</t>
        </is>
      </c>
      <c r="P24" s="16" t="inlineStr"/>
      <c r="Q24" s="16" t="inlineStr"/>
      <c r="R24" s="16" t="inlineStr">
        <is>
          <t>Activity Tracker internal sync-up</t>
        </is>
      </c>
      <c r="S24" s="17" t="inlineStr">
        <is>
          <t>planned</t>
        </is>
      </c>
      <c r="T24" s="18" t="n">
        <v>46283</v>
      </c>
      <c r="U24" s="18" t="n">
        <v>46283</v>
      </c>
      <c r="V24" s="18" t="n">
        <v>46281</v>
      </c>
      <c r="W24" s="16" t="inlineStr">
        <is>
          <t>2026-09-16-activity-tracker-sync.md</t>
        </is>
      </c>
      <c r="X24" s="16" t="inlineStr">
        <is>
          <t>2026-09-16-intelligent-tracker-03</t>
        </is>
      </c>
    </row>
    <row r="25">
      <c r="A25" s="16" t="inlineStr">
        <is>
          <t>Add phase-level delay visibility (green/red per stage, payment milestone impact) and a morning alert for predicted delays to the project screen.</t>
        </is>
      </c>
      <c r="B25" s="16" t="inlineStr">
        <is>
          <t>Laxmikant</t>
        </is>
      </c>
      <c r="C25" s="17" t="inlineStr">
        <is>
          <t>P1</t>
        </is>
      </c>
      <c r="D25" s="17" t="inlineStr">
        <is>
          <t>done</t>
        </is>
      </c>
      <c r="E25" s="18" t="n">
        <v>46281</v>
      </c>
      <c r="F25" s="16" t="inlineStr">
        <is>
          <t>intelligent-tracker</t>
        </is>
      </c>
      <c r="G25" s="16" t="inlineStr">
        <is>
          <t>Intelligent Tracker</t>
        </is>
      </c>
      <c r="H25" s="16" t="inlineStr"/>
      <c r="I25" s="16" t="inlineStr"/>
      <c r="J25" s="16" t="inlineStr"/>
      <c r="K25" s="17" t="inlineStr"/>
      <c r="L25" s="16" t="inlineStr"/>
      <c r="M25" s="16" t="inlineStr"/>
      <c r="N25" s="16" t="inlineStr"/>
      <c r="O25" s="16" t="inlineStr">
        <is>
          <t>Every day morning they should know that what is a predicted problem that can happen in the future.</t>
        </is>
      </c>
      <c r="P25" s="16" t="inlineStr"/>
      <c r="Q25" s="16" t="inlineStr"/>
      <c r="R25" s="16" t="inlineStr">
        <is>
          <t>Activity Tracker internal sync-up</t>
        </is>
      </c>
      <c r="S25" s="17" t="inlineStr">
        <is>
          <t>planned</t>
        </is>
      </c>
      <c r="T25" s="18" t="n">
        <v>46283</v>
      </c>
      <c r="U25" s="18" t="n">
        <v>46283</v>
      </c>
      <c r="V25" s="18" t="n">
        <v>46281</v>
      </c>
      <c r="W25" s="16" t="inlineStr">
        <is>
          <t>2026-09-16-activity-tracker-sync.md</t>
        </is>
      </c>
      <c r="X25" s="16" t="inlineStr">
        <is>
          <t>2026-09-16-intelligent-tracker-04</t>
        </is>
      </c>
    </row>
    <row r="26">
      <c r="A26" s="16" t="inlineStr">
        <is>
          <t>Add separate flags for CR effort-vs-estimate overrun and schedule slip in the time tracker.</t>
        </is>
      </c>
      <c r="B26" s="16" t="inlineStr">
        <is>
          <t>Laxmikant</t>
        </is>
      </c>
      <c r="C26" s="17" t="inlineStr">
        <is>
          <t>P1</t>
        </is>
      </c>
      <c r="D26" s="17" t="inlineStr">
        <is>
          <t>done</t>
        </is>
      </c>
      <c r="E26" s="18" t="n">
        <v>46281</v>
      </c>
      <c r="F26" s="16" t="inlineStr">
        <is>
          <t>intelligent-tracker</t>
        </is>
      </c>
      <c r="G26" s="16" t="inlineStr">
        <is>
          <t>Intelligent Tracker</t>
        </is>
      </c>
      <c r="H26" s="16" t="inlineStr"/>
      <c r="I26" s="16" t="inlineStr"/>
      <c r="J26" s="16" t="inlineStr"/>
      <c r="K26" s="17" t="inlineStr"/>
      <c r="L26" s="16" t="inlineStr"/>
      <c r="M26" s="16" t="inlineStr"/>
      <c r="N26" s="16" t="inlineStr"/>
      <c r="O26" s="16" t="inlineStr">
        <is>
          <t>there will be definitely a flat. Yes, estimated hours versus total hours will be there, sir.</t>
        </is>
      </c>
      <c r="P26" s="16" t="inlineStr"/>
      <c r="Q26" s="16" t="inlineStr"/>
      <c r="R26" s="16" t="inlineStr">
        <is>
          <t>Activity Tracker internal sync-up</t>
        </is>
      </c>
      <c r="S26" s="17" t="inlineStr">
        <is>
          <t>planned</t>
        </is>
      </c>
      <c r="T26" s="18" t="n">
        <v>46283</v>
      </c>
      <c r="U26" s="18" t="n">
        <v>46283</v>
      </c>
      <c r="V26" s="18" t="n">
        <v>46281</v>
      </c>
      <c r="W26" s="16" t="inlineStr">
        <is>
          <t>2026-09-16-activity-tracker-sync.md</t>
        </is>
      </c>
      <c r="X26" s="16" t="inlineStr">
        <is>
          <t>2026-09-16-intelligent-tracker-05</t>
        </is>
      </c>
    </row>
    <row r="27">
      <c r="A27" s="16" t="inlineStr">
        <is>
          <t>Review Laxmikant's updated solution design document and sign off if it is acceptable.</t>
        </is>
      </c>
      <c r="B27" s="16" t="inlineStr">
        <is>
          <t>Ayush</t>
        </is>
      </c>
      <c r="C27" s="17" t="inlineStr">
        <is>
          <t>P1</t>
        </is>
      </c>
      <c r="D27" s="17" t="inlineStr">
        <is>
          <t>done</t>
        </is>
      </c>
      <c r="E27" s="18" t="n">
        <v>46281</v>
      </c>
      <c r="F27" s="16" t="inlineStr">
        <is>
          <t>intelligent-tracker</t>
        </is>
      </c>
      <c r="G27" s="16" t="inlineStr">
        <is>
          <t>Intelligent Tracker</t>
        </is>
      </c>
      <c r="H27" s="16" t="inlineStr"/>
      <c r="I27" s="16" t="inlineStr"/>
      <c r="J27" s="16" t="inlineStr"/>
      <c r="K27" s="17" t="inlineStr"/>
      <c r="L27" s="16" t="inlineStr"/>
      <c r="M27" s="16" t="inlineStr"/>
      <c r="N27" s="16" t="inlineStr"/>
      <c r="O27" s="16" t="inlineStr">
        <is>
          <t>He sent it to me. I'll review it and I'll sign off on that if it is okay.</t>
        </is>
      </c>
      <c r="P27" s="16" t="inlineStr"/>
      <c r="Q27" s="16" t="inlineStr"/>
      <c r="R27" s="16" t="inlineStr">
        <is>
          <t>Activity Tracker internal sync-up</t>
        </is>
      </c>
      <c r="S27" s="17" t="inlineStr">
        <is>
          <t>planned</t>
        </is>
      </c>
      <c r="T27" s="18" t="n">
        <v>46283</v>
      </c>
      <c r="U27" s="18" t="n">
        <v>46283</v>
      </c>
      <c r="V27" s="18" t="n">
        <v>46281</v>
      </c>
      <c r="W27" s="16" t="inlineStr">
        <is>
          <t>2026-09-16-activity-tracker-sync.md</t>
        </is>
      </c>
      <c r="X27" s="16" t="inlineStr">
        <is>
          <t>2026-09-16-intelligent-tracker-07</t>
        </is>
      </c>
    </row>
    <row r="28">
      <c r="A28" s="16" t="inlineStr">
        <is>
          <t>Review how developers close issues in Zoho (root cause, resolution, attachments) and identify fields to replicate in the Issues module UI.</t>
        </is>
      </c>
      <c r="B28" s="16" t="inlineStr">
        <is>
          <t>Ashwini</t>
        </is>
      </c>
      <c r="C28" s="17" t="inlineStr">
        <is>
          <t>P1</t>
        </is>
      </c>
      <c r="D28" s="17" t="inlineStr">
        <is>
          <t>done</t>
        </is>
      </c>
      <c r="E28" s="18" t="n">
        <v>46281</v>
      </c>
      <c r="F28" s="16" t="inlineStr">
        <is>
          <t>intelligent-tracker</t>
        </is>
      </c>
      <c r="G28" s="16" t="inlineStr">
        <is>
          <t>Intelligent Tracker</t>
        </is>
      </c>
      <c r="H28" s="16" t="inlineStr"/>
      <c r="I28" s="16" t="inlineStr"/>
      <c r="J28" s="16" t="inlineStr"/>
      <c r="K28" s="17" t="inlineStr"/>
      <c r="L28" s="16" t="inlineStr"/>
      <c r="M28" s="16" t="inlineStr"/>
      <c r="N28" s="16" t="inlineStr"/>
      <c r="O28" s="16" t="inlineStr">
        <is>
          <t>Ashwini, how a developer is closing a task? Just look at that once again in Zoho.</t>
        </is>
      </c>
      <c r="P28" s="16" t="inlineStr"/>
      <c r="Q28" s="16" t="inlineStr"/>
      <c r="R28" s="16" t="inlineStr">
        <is>
          <t>Activity Tracker internal sync-up</t>
        </is>
      </c>
      <c r="S28" s="17" t="inlineStr">
        <is>
          <t>planned</t>
        </is>
      </c>
      <c r="T28" s="18" t="n">
        <v>46282</v>
      </c>
      <c r="U28" s="18" t="n">
        <v>46282</v>
      </c>
      <c r="V28" s="18" t="n">
        <v>46281</v>
      </c>
      <c r="W28" s="16" t="inlineStr">
        <is>
          <t>2026-09-16-activity-tracker-sync.md</t>
        </is>
      </c>
      <c r="X28" s="16" t="inlineStr">
        <is>
          <t>2026-09-16-intelligent-tracker-02</t>
        </is>
      </c>
    </row>
    <row r="29">
      <c r="A29" s="16" t="inlineStr">
        <is>
          <t>Post today's review comments for Issues, CR and Plan Tree in the group chat so Sreekumar can give sign-off.</t>
        </is>
      </c>
      <c r="B29" s="16" t="inlineStr">
        <is>
          <t>Ashwini</t>
        </is>
      </c>
      <c r="C29" s="17" t="inlineStr">
        <is>
          <t>P1</t>
        </is>
      </c>
      <c r="D29" s="17" t="inlineStr">
        <is>
          <t>done</t>
        </is>
      </c>
      <c r="E29" s="18" t="n">
        <v>46281</v>
      </c>
      <c r="F29" s="16" t="inlineStr">
        <is>
          <t>intelligent-tracker</t>
        </is>
      </c>
      <c r="G29" s="16" t="inlineStr">
        <is>
          <t>Intelligent Tracker</t>
        </is>
      </c>
      <c r="H29" s="16" t="inlineStr"/>
      <c r="I29" s="16" t="inlineStr"/>
      <c r="J29" s="16" t="inlineStr"/>
      <c r="K29" s="17" t="inlineStr"/>
      <c r="L29" s="16" t="inlineStr"/>
      <c r="M29" s="16" t="inlineStr"/>
      <c r="N29" s="16" t="inlineStr"/>
      <c r="O29" s="16" t="inlineStr">
        <is>
          <t>make sure that we put those review comments in the group. Based on that, I will give you the sign off in the chat.</t>
        </is>
      </c>
      <c r="P29" s="16" t="inlineStr"/>
      <c r="Q29" s="16" t="inlineStr"/>
      <c r="R29" s="16" t="inlineStr">
        <is>
          <t>Activity Tracker internal sync-up</t>
        </is>
      </c>
      <c r="S29" s="17" t="inlineStr">
        <is>
          <t>planned</t>
        </is>
      </c>
      <c r="T29" s="18" t="n">
        <v>46282</v>
      </c>
      <c r="U29" s="18" t="n">
        <v>46282</v>
      </c>
      <c r="V29" s="18" t="n">
        <v>46281</v>
      </c>
      <c r="W29" s="16" t="inlineStr">
        <is>
          <t>2026-09-16-activity-tracker-sync.md</t>
        </is>
      </c>
      <c r="X29" s="16" t="inlineStr">
        <is>
          <t>2026-09-16-intelligent-tracker-06</t>
        </is>
      </c>
    </row>
    <row r="30">
      <c r="A30" s="16" t="inlineStr">
        <is>
          <t>Show Sreekumar in the application how CR items and issues resolve into work-item tasks.</t>
        </is>
      </c>
      <c r="B30" s="16" t="inlineStr">
        <is>
          <t>Ashwini</t>
        </is>
      </c>
      <c r="C30" s="17" t="inlineStr">
        <is>
          <t>P1</t>
        </is>
      </c>
      <c r="D30" s="17" t="inlineStr">
        <is>
          <t>done</t>
        </is>
      </c>
      <c r="E30" s="18" t="n"/>
      <c r="F30" s="16" t="inlineStr">
        <is>
          <t>intelligent-tracker</t>
        </is>
      </c>
      <c r="G30" s="16" t="inlineStr">
        <is>
          <t>Intelligent Tracker</t>
        </is>
      </c>
      <c r="H30" s="16" t="inlineStr"/>
      <c r="I30" s="16" t="inlineStr"/>
      <c r="J30" s="16" t="inlineStr"/>
      <c r="K30" s="17" t="inlineStr"/>
      <c r="L30" s="16" t="inlineStr"/>
      <c r="M30" s="16" t="inlineStr"/>
      <c r="N30" s="16" t="inlineStr"/>
      <c r="O30" s="16" t="inlineStr">
        <is>
          <t>Yeah, that we will show you on the website.</t>
        </is>
      </c>
      <c r="P30" s="16" t="inlineStr"/>
      <c r="Q30" s="16" t="inlineStr"/>
      <c r="R30" s="16" t="inlineStr">
        <is>
          <t>Activity Tracker internal sync-up</t>
        </is>
      </c>
      <c r="S30" s="17" t="inlineStr">
        <is>
          <t>planned</t>
        </is>
      </c>
      <c r="T30" s="18" t="n">
        <v>46283</v>
      </c>
      <c r="U30" s="18" t="n">
        <v>46283</v>
      </c>
      <c r="V30" s="18" t="n">
        <v>46280</v>
      </c>
      <c r="W30" s="16" t="inlineStr">
        <is>
          <t>2026-09-15-activity-tracker-sync.md</t>
        </is>
      </c>
      <c r="X30" s="16" t="inlineStr">
        <is>
          <t>2026-09-15-intelligent-tracker-03</t>
        </is>
      </c>
    </row>
    <row r="31">
      <c r="A31" s="16" t="inlineStr">
        <is>
          <t>Review the new lsp_claim_line_items table and added claim-table columns against the no-further-master-data-changes position agreed with Adwaith.</t>
        </is>
      </c>
      <c r="B31" s="16" t="inlineStr">
        <is>
          <t>Ayush</t>
        </is>
      </c>
      <c r="C31" s="17" t="inlineStr">
        <is>
          <t>P1</t>
        </is>
      </c>
      <c r="D31" s="17" t="inlineStr">
        <is>
          <t>done</t>
        </is>
      </c>
      <c r="E31" s="18" t="n"/>
      <c r="F31" s="16" t="inlineStr">
        <is>
          <t>lsp</t>
        </is>
      </c>
      <c r="G31" s="16" t="inlineStr">
        <is>
          <t>unassigned</t>
        </is>
      </c>
      <c r="H31" s="16" t="inlineStr">
        <is>
          <t>review</t>
        </is>
      </c>
      <c r="I31" s="16" t="inlineStr">
        <is>
          <t>Ayush compares the new tables and columns against the sign-off position and flags any conflicts to Adwaith.</t>
        </is>
      </c>
      <c r="J31" s="16" t="inlineStr"/>
      <c r="K31" s="17" t="inlineStr">
        <is>
          <t>half-day</t>
        </is>
      </c>
      <c r="L31" s="16" t="inlineStr"/>
      <c r="M31" s="16" t="inlineStr">
        <is>
          <t>List of new columns/tables from this CR</t>
        </is>
      </c>
      <c r="N31" s="16" t="inlineStr"/>
      <c r="O31" s="16" t="inlineStr">
        <is>
          <t>Existing claim table: add lsp_fy, lsp_totalnrclaimwithsr, lsp_totalpoclaimwithsr, plus the status-sync fields</t>
        </is>
      </c>
      <c r="P31" s="16" t="inlineStr">
        <is>
          <t>No further master data or DB column changes after sign-off (told to Adwaith on 2026-09-16).</t>
        </is>
      </c>
      <c r="Q31" s="16" t="inlineStr"/>
      <c r="R31" s="16" t="inlineStr">
        <is>
          <t>CR: Distributor Line-Item Visibility and Claim Status Sync</t>
        </is>
      </c>
      <c r="S31" s="17" t="inlineStr">
        <is>
          <t>planned</t>
        </is>
      </c>
      <c r="T31" s="18" t="n">
        <v>46281</v>
      </c>
      <c r="U31" s="18" t="n">
        <v>46281</v>
      </c>
      <c r="V31" s="18" t="n">
        <v>46281</v>
      </c>
      <c r="W31" s="16" t="inlineStr">
        <is>
          <t>CR_DISTRIBUTOR_LINE_ITEM_VISIBILITY_Revised (1).docx</t>
        </is>
      </c>
      <c r="X31" s="16" t="inlineStr">
        <is>
          <t>2026-09-16-lsp-01</t>
        </is>
      </c>
    </row>
    <row r="32">
      <c r="A32" s="16" t="inlineStr">
        <is>
          <t>Speak with Laxmikant to plan the development plan and model for the build.</t>
        </is>
      </c>
      <c r="B32" s="16" t="inlineStr">
        <is>
          <t>Ayush</t>
        </is>
      </c>
      <c r="C32" s="17" t="inlineStr">
        <is>
          <t>P2</t>
        </is>
      </c>
      <c r="D32" s="17" t="inlineStr">
        <is>
          <t>done</t>
        </is>
      </c>
      <c r="E32" s="18" t="n">
        <v>46276</v>
      </c>
      <c r="F32" s="16" t="inlineStr">
        <is>
          <t>intelligent-tracker</t>
        </is>
      </c>
      <c r="G32" s="16" t="inlineStr">
        <is>
          <t>Intelligent Tracker</t>
        </is>
      </c>
      <c r="H32" s="16" t="inlineStr"/>
      <c r="I32" s="16" t="inlineStr"/>
      <c r="J32" s="16" t="inlineStr"/>
      <c r="K32" s="17" t="inlineStr"/>
      <c r="L32" s="16" t="inlineStr"/>
      <c r="M32" s="16" t="inlineStr"/>
      <c r="N32" s="16" t="inlineStr"/>
      <c r="O32" s="16" t="inlineStr">
        <is>
          <t>I will speak to Lakshmi, plan development plan with model that's it</t>
        </is>
      </c>
      <c r="P32" s="16" t="inlineStr"/>
      <c r="Q32" s="16" t="inlineStr"/>
      <c r="R32" s="16" t="inlineStr">
        <is>
          <t>Activity Tracker internal sync-up</t>
        </is>
      </c>
      <c r="S32" s="17" t="inlineStr">
        <is>
          <t>planned</t>
        </is>
      </c>
      <c r="T32" s="18" t="n">
        <v>46283</v>
      </c>
      <c r="U32" s="18" t="n">
        <v>46283</v>
      </c>
      <c r="V32" s="18" t="n">
        <v>46276</v>
      </c>
      <c r="W32" s="16" t="inlineStr">
        <is>
          <t>2026-09-11-activity-tracker-sync.md</t>
        </is>
      </c>
      <c r="X32" s="16" t="inlineStr">
        <is>
          <t>2026-09-11-intelligent-tracker-08</t>
        </is>
      </c>
    </row>
    <row r="33">
      <c r="A33" s="16" t="inlineStr">
        <is>
          <t>Log detailed CR module tasks for today in Zoho and send the task ID to Ashwini.</t>
        </is>
      </c>
      <c r="B33" s="16" t="inlineStr">
        <is>
          <t>Johan</t>
        </is>
      </c>
      <c r="C33" s="17" t="inlineStr">
        <is>
          <t>P2</t>
        </is>
      </c>
      <c r="D33" s="17" t="inlineStr">
        <is>
          <t>done</t>
        </is>
      </c>
      <c r="E33" s="18" t="n">
        <v>46276</v>
      </c>
      <c r="F33" s="16" t="inlineStr">
        <is>
          <t>intelligent-tracker</t>
        </is>
      </c>
      <c r="G33" s="16" t="inlineStr">
        <is>
          <t>Intelligent Tracker</t>
        </is>
      </c>
      <c r="H33" s="16" t="inlineStr"/>
      <c r="I33" s="16" t="inlineStr"/>
      <c r="J33" s="16" t="inlineStr"/>
      <c r="K33" s="17" t="inlineStr"/>
      <c r="L33" s="16" t="inlineStr"/>
      <c r="M33" s="16" t="inlineStr"/>
      <c r="N33" s="16" t="inlineStr"/>
      <c r="O33" s="16" t="inlineStr">
        <is>
          <t>they will be noting down their detailed task in Zoho and giving a Task ID to Ashwini</t>
        </is>
      </c>
      <c r="P33" s="16" t="inlineStr"/>
      <c r="Q33" s="16" t="inlineStr"/>
      <c r="R33" s="16" t="inlineStr">
        <is>
          <t>Activity Tracker internal sync-up</t>
        </is>
      </c>
      <c r="S33" s="17" t="inlineStr">
        <is>
          <t>planned</t>
        </is>
      </c>
      <c r="T33" s="18" t="n">
        <v>46282</v>
      </c>
      <c r="U33" s="18" t="n">
        <v>46282</v>
      </c>
      <c r="V33" s="18" t="n">
        <v>46276</v>
      </c>
      <c r="W33" s="16" t="inlineStr">
        <is>
          <t>2026-09-11-activity-tracker-sync.md</t>
        </is>
      </c>
      <c r="X33" s="16" t="inlineStr">
        <is>
          <t>2026-09-11-intelligent-tracker-02</t>
        </is>
      </c>
    </row>
    <row r="34">
      <c r="A34" s="16" t="inlineStr">
        <is>
          <t>Log detailed Issues module tasks for today in Zoho and send the task ID to Ashwini.</t>
        </is>
      </c>
      <c r="B34" s="16" t="inlineStr">
        <is>
          <t>Samuel</t>
        </is>
      </c>
      <c r="C34" s="17" t="inlineStr">
        <is>
          <t>P2</t>
        </is>
      </c>
      <c r="D34" s="17" t="inlineStr">
        <is>
          <t>done</t>
        </is>
      </c>
      <c r="E34" s="18" t="n">
        <v>46276</v>
      </c>
      <c r="F34" s="16" t="inlineStr">
        <is>
          <t>intelligent-tracker</t>
        </is>
      </c>
      <c r="G34" s="16" t="inlineStr">
        <is>
          <t>Intelligent Tracker</t>
        </is>
      </c>
      <c r="H34" s="16" t="inlineStr"/>
      <c r="I34" s="16" t="inlineStr"/>
      <c r="J34" s="16" t="inlineStr"/>
      <c r="K34" s="17" t="inlineStr"/>
      <c r="L34" s="16" t="inlineStr"/>
      <c r="M34" s="16" t="inlineStr"/>
      <c r="N34" s="16" t="inlineStr"/>
      <c r="O34" s="16" t="inlineStr">
        <is>
          <t>they will be noting down their detailed task in Zoho and giving a Task ID to Ashwini</t>
        </is>
      </c>
      <c r="P34" s="16" t="inlineStr"/>
      <c r="Q34" s="16" t="inlineStr"/>
      <c r="R34" s="16" t="inlineStr">
        <is>
          <t>Activity Tracker internal sync-up</t>
        </is>
      </c>
      <c r="S34" s="17" t="inlineStr">
        <is>
          <t>planned</t>
        </is>
      </c>
      <c r="T34" s="18" t="n">
        <v>46282</v>
      </c>
      <c r="U34" s="18" t="n">
        <v>46282</v>
      </c>
      <c r="V34" s="18" t="n">
        <v>46276</v>
      </c>
      <c r="W34" s="16" t="inlineStr">
        <is>
          <t>2026-09-11-activity-tracker-sync.md</t>
        </is>
      </c>
      <c r="X34" s="16" t="inlineStr">
        <is>
          <t>2026-09-11-intelligent-tracker-03</t>
        </is>
      </c>
    </row>
    <row r="35">
      <c r="A35" s="16" t="inlineStr">
        <is>
          <t>Discuss with Laxmikant the feasibility and structural changes needed for the new issue fields from Sreekumar's design before building them.</t>
        </is>
      </c>
      <c r="B35" s="16" t="inlineStr">
        <is>
          <t>Samuel</t>
        </is>
      </c>
      <c r="C35" s="17" t="inlineStr">
        <is>
          <t>P2</t>
        </is>
      </c>
      <c r="D35" s="17" t="inlineStr">
        <is>
          <t>done</t>
        </is>
      </c>
      <c r="E35" s="18" t="n">
        <v>46281</v>
      </c>
      <c r="F35" s="16" t="inlineStr">
        <is>
          <t>intelligent-tracker</t>
        </is>
      </c>
      <c r="G35" s="16" t="inlineStr">
        <is>
          <t>Intelligent Tracker</t>
        </is>
      </c>
      <c r="H35" s="16" t="inlineStr"/>
      <c r="I35" s="16" t="inlineStr"/>
      <c r="J35" s="16" t="inlineStr"/>
      <c r="K35" s="17" t="inlineStr"/>
      <c r="L35" s="16" t="inlineStr"/>
      <c r="M35" s="16" t="inlineStr"/>
      <c r="N35" s="16" t="inlineStr"/>
      <c r="O35" s="16" t="inlineStr">
        <is>
          <t>I wanted Sam to talk to you regarding the feasibility of that. I know it will work, but what is the structure change?</t>
        </is>
      </c>
      <c r="P35" s="16" t="inlineStr"/>
      <c r="Q35" s="16" t="inlineStr"/>
      <c r="R35" s="16" t="inlineStr">
        <is>
          <t>Activity Tracker internal sync-up</t>
        </is>
      </c>
      <c r="S35" s="17" t="inlineStr">
        <is>
          <t>planned</t>
        </is>
      </c>
      <c r="T35" s="18" t="n">
        <v>46283</v>
      </c>
      <c r="U35" s="18" t="n">
        <v>46283</v>
      </c>
      <c r="V35" s="18" t="n">
        <v>46281</v>
      </c>
      <c r="W35" s="16" t="inlineStr">
        <is>
          <t>2026-09-16-activity-tracker-sync.md</t>
        </is>
      </c>
      <c r="X35" s="16" t="inlineStr">
        <is>
          <t>2026-09-16-intelligent-tracker-01</t>
        </is>
      </c>
    </row>
    <row r="36">
      <c r="A36" s="16" t="inlineStr">
        <is>
          <t>Send out a skill-gap poll on HTML/CSS/JavaScript proficiency and use the results to build the training plan.</t>
        </is>
      </c>
      <c r="B36" s="16" t="inlineStr">
        <is>
          <t>Sarathchandra Babu</t>
        </is>
      </c>
      <c r="C36" s="17" t="inlineStr">
        <is>
          <t>P2</t>
        </is>
      </c>
      <c r="D36" s="17" t="inlineStr">
        <is>
          <t>done</t>
        </is>
      </c>
      <c r="E36" s="18" t="n">
        <v>46282</v>
      </c>
      <c r="F36" s="16" t="inlineStr">
        <is>
          <t>unassigned</t>
        </is>
      </c>
      <c r="G36" s="16" t="inlineStr">
        <is>
          <t>unassigned</t>
        </is>
      </c>
      <c r="H36" s="16" t="inlineStr">
        <is>
          <t>coordinate</t>
        </is>
      </c>
      <c r="I36" s="16" t="inlineStr">
        <is>
          <t>Send the poll to the team and collect responses.</t>
        </is>
      </c>
      <c r="J36" s="16" t="inlineStr"/>
      <c r="K36" s="17" t="inlineStr">
        <is>
          <t>1h</t>
        </is>
      </c>
      <c r="L36" s="16" t="inlineStr"/>
      <c r="M36" s="16" t="inlineStr"/>
      <c r="N36" s="16" t="inlineStr"/>
      <c r="O36" s="16" t="inlineStr">
        <is>
          <t>Or, if you can put a poll in one of these, let's see here.</t>
        </is>
      </c>
      <c r="P36" s="16" t="inlineStr">
        <is>
          <t>D-2026-09-17-02</t>
        </is>
      </c>
      <c r="Q36" s="16" t="inlineStr"/>
      <c r="R36" s="16" t="inlineStr">
        <is>
          <t>Code Apps Learning Curriculum Structure Discussion</t>
        </is>
      </c>
      <c r="S36" s="17" t="inlineStr">
        <is>
          <t>planned</t>
        </is>
      </c>
      <c r="T36" s="18" t="n">
        <v>46282</v>
      </c>
      <c r="U36" s="18" t="n">
        <v>46282</v>
      </c>
      <c r="V36" s="18" t="n">
        <v>46282</v>
      </c>
      <c r="W36" s="16" t="inlineStr">
        <is>
          <t>2026-09-17-code-apps-learning-curriculum-discussion.docx</t>
        </is>
      </c>
      <c r="X36" s="16" t="inlineStr">
        <is>
          <t>2026-09-17-unassigned-01</t>
        </is>
      </c>
    </row>
    <row r="37">
      <c r="A37" s="16" t="inlineStr">
        <is>
          <t>Populate lsp_distributoremail for every distributor before the claim-status notification feature rolls out.</t>
        </is>
      </c>
      <c r="B37" s="16" t="inlineStr">
        <is>
          <t>Adwaith</t>
        </is>
      </c>
      <c r="C37" s="17" t="inlineStr">
        <is>
          <t>P2</t>
        </is>
      </c>
      <c r="D37" s="17" t="inlineStr">
        <is>
          <t>done</t>
        </is>
      </c>
      <c r="E37" s="18" t="n"/>
      <c r="F37" s="16" t="inlineStr">
        <is>
          <t>lsp</t>
        </is>
      </c>
      <c r="G37" s="16" t="inlineStr">
        <is>
          <t>unassigned</t>
        </is>
      </c>
      <c r="H37" s="16" t="inlineStr">
        <is>
          <t>other</t>
        </is>
      </c>
      <c r="I37" s="16" t="inlineStr">
        <is>
          <t>Adwaith supplies the missing distributor email addresses for all distributor master records.</t>
        </is>
      </c>
      <c r="J37" s="16" t="inlineStr"/>
      <c r="K37" s="17" t="inlineStr">
        <is>
          <t>unknown</t>
        </is>
      </c>
      <c r="L37" s="16" t="inlineStr"/>
      <c r="M37" s="16" t="inlineStr"/>
      <c r="N37" s="16" t="inlineStr"/>
      <c r="O37" s="16" t="inlineStr">
        <is>
          <t>lsp_distributoremail is not populated for every distributor. Populate it before rollout or the notification silently sends to nobody.</t>
        </is>
      </c>
      <c r="P37" s="16" t="inlineStr">
        <is>
          <t>CR section 7.4 Notifications</t>
        </is>
      </c>
      <c r="Q37" s="16" t="inlineStr"/>
      <c r="R37" s="16" t="inlineStr">
        <is>
          <t>CR: Distributor Line-Item Visibility and Claim Status Sync</t>
        </is>
      </c>
      <c r="S37" s="17" t="inlineStr">
        <is>
          <t>planned</t>
        </is>
      </c>
      <c r="T37" s="18" t="n">
        <v>46281</v>
      </c>
      <c r="U37" s="18" t="n">
        <v>46281</v>
      </c>
      <c r="V37" s="18" t="n">
        <v>46281</v>
      </c>
      <c r="W37" s="16" t="inlineStr">
        <is>
          <t>CR_DISTRIBUTOR_LINE_ITEM_VISIBILITY_Revised (1).docx</t>
        </is>
      </c>
      <c r="X37" s="16" t="inlineStr">
        <is>
          <t>2026-09-16-lsp-02</t>
        </is>
      </c>
    </row>
    <row r="38">
      <c r="A38" s="16" t="inlineStr">
        <is>
          <t>Brainstorm startup ideas during the walk (18 Sep, 17:00, ~30 min) and write them down afterwards</t>
        </is>
      </c>
      <c r="B38" s="16" t="inlineStr">
        <is>
          <t>Ayush</t>
        </is>
      </c>
      <c r="C38" s="17" t="inlineStr">
        <is>
          <t>P3</t>
        </is>
      </c>
      <c r="D38" s="17" t="inlineStr">
        <is>
          <t>done</t>
        </is>
      </c>
      <c r="E38" s="18" t="n">
        <v>46283</v>
      </c>
      <c r="F38" s="16" t="inlineStr">
        <is>
          <t>unassigned</t>
        </is>
      </c>
      <c r="G38" s="16" t="inlineStr">
        <is>
          <t>unassigned</t>
        </is>
      </c>
      <c r="H38" s="16" t="inlineStr">
        <is>
          <t>other</t>
        </is>
      </c>
      <c r="I38" s="16" t="inlineStr">
        <is>
          <t>Write down the ideas after the walk</t>
        </is>
      </c>
      <c r="J38" s="16" t="inlineStr"/>
      <c r="K38" s="17" t="inlineStr">
        <is>
          <t>1h</t>
        </is>
      </c>
      <c r="L38" s="16" t="inlineStr"/>
      <c r="M38" s="16" t="inlineStr"/>
      <c r="N38" s="16" t="inlineStr"/>
      <c r="O38" s="16" t="inlineStr">
        <is>
          <t>brainstorm startup ideas during the walk today, 18 Sep at 17:00, about 30 minutes. Personal, not tied to a project.</t>
        </is>
      </c>
      <c r="P38" s="16" t="inlineStr">
        <is>
          <t>line itself: personal walk brainstorm task</t>
        </is>
      </c>
      <c r="Q38" s="16" t="inlineStr">
        <is>
          <t>basis unresolved</t>
        </is>
      </c>
      <c r="R38" s="16" t="inlineStr">
        <is>
          <t>Personal note 2026-09-18</t>
        </is>
      </c>
      <c r="S38" s="17" t="inlineStr">
        <is>
          <t>unplanned</t>
        </is>
      </c>
      <c r="T38" s="18" t="n">
        <v>46286</v>
      </c>
      <c r="U38" s="18" t="n">
        <v>46286</v>
      </c>
      <c r="V38" s="18" t="n">
        <v>46283</v>
      </c>
      <c r="W38" s="16" t="inlineStr">
        <is>
          <t>note-2026-09-18-walk-brainstorm.md</t>
        </is>
      </c>
      <c r="X38" s="16" t="inlineStr">
        <is>
          <t>2026-09-18-unassigned-01</t>
        </is>
      </c>
    </row>
    <row r="39">
      <c r="A39" s="16" t="inlineStr">
        <is>
          <t>Agree and document a retention or archival policy for closed periodic closure line-item data.</t>
        </is>
      </c>
      <c r="B39" s="16" t="inlineStr">
        <is>
          <t>Ayush</t>
        </is>
      </c>
      <c r="C39" s="17" t="inlineStr">
        <is>
          <t>P3</t>
        </is>
      </c>
      <c r="D39" s="17" t="inlineStr">
        <is>
          <t>done</t>
        </is>
      </c>
      <c r="E39" s="18" t="n"/>
      <c r="F39" s="16" t="inlineStr">
        <is>
          <t>lsp</t>
        </is>
      </c>
      <c r="G39" s="16" t="inlineStr">
        <is>
          <t>unassigned</t>
        </is>
      </c>
      <c r="H39" s="16" t="inlineStr">
        <is>
          <t>decide</t>
        </is>
      </c>
      <c r="I39" s="16" t="inlineStr">
        <is>
          <t>Ayush proposes a retention window and confirms it with the DMS side.</t>
        </is>
      </c>
      <c r="J39" s="16" t="inlineStr"/>
      <c r="K39" s="17" t="inlineStr">
        <is>
          <t>unknown</t>
        </is>
      </c>
      <c r="L39" s="16" t="inlineStr"/>
      <c r="M39" s="16" t="inlineStr"/>
      <c r="N39" s="16" t="inlineStr"/>
      <c r="O39" s="16" t="inlineStr">
        <is>
          <t>Agree a retention or archival policy for closed periodic closures.</t>
        </is>
      </c>
      <c r="P39" s="16" t="inlineStr">
        <is>
          <t>CR section 8.6 Sizing</t>
        </is>
      </c>
      <c r="Q39" s="16" t="inlineStr"/>
      <c r="R39" s="16" t="inlineStr">
        <is>
          <t>CR: Distributor Line-Item Visibility and Claim Status Sync</t>
        </is>
      </c>
      <c r="S39" s="17" t="inlineStr">
        <is>
          <t>planned</t>
        </is>
      </c>
      <c r="T39" s="18" t="n">
        <v>46281</v>
      </c>
      <c r="U39" s="18" t="n">
        <v>46281</v>
      </c>
      <c r="V39" s="18" t="n">
        <v>46281</v>
      </c>
      <c r="W39" s="16" t="inlineStr">
        <is>
          <t>CR_DISTRIBUTOR_LINE_ITEM_VISIBILITY_Revised (1).docx</t>
        </is>
      </c>
      <c r="X39" s="16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Q2:Q5000">
    <cfRule type="expression" priority="10" dxfId="2">
      <formula>$Q2&lt;&gt;""</formula>
    </cfRule>
  </conditionalFormatting>
  <conditionalFormatting sqref="A2:X5000">
    <cfRule type="expression" priority="11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S2:S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2026-09-25T06:19:54Z</dcterms:created>
  <dcterms:modified xmlns:dcterms="http://purl.org/dc/terms/" xmlns:xsi="http://www.w3.org/2001/XMLSchema-instance" xsi:type="dcterms:W3CDTF">2026-09-25T06:19:54Z</dcterms:modified>
</cp:coreProperties>
</file>