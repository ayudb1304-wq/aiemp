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1F3864"/>
      <sz val="20"/>
    </font>
    <font>
      <name val="Arial"/>
      <color rgb="006B7280"/>
      <sz val="9"/>
    </font>
    <font>
      <name val="Arial"/>
      <b val="1"/>
      <color rgb="006B7280"/>
      <sz val="8"/>
    </font>
    <font>
      <name val="Arial"/>
      <b val="1"/>
      <color rgb="001F3864"/>
      <sz val="22"/>
    </font>
    <font>
      <name val="Arial"/>
      <b val="1"/>
      <color rgb="001F3864"/>
      <sz val="12"/>
    </font>
    <font>
      <name val="Arial"/>
      <b val="1"/>
      <color rgb="00FFFFFF"/>
      <sz val="9"/>
    </font>
    <font>
      <name val="Arial"/>
      <b val="1"/>
      <color rgb="001F2933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3F6FB"/>
      </patternFill>
    </fill>
  </fills>
  <borders count="5">
    <border>
      <left/>
      <right/>
      <top/>
      <bottom/>
      <diagonal/>
    </border>
    <border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top style="medium">
        <color rgb="001F3864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11">
    <dxf>
      <font>
        <name val="Arial"/>
        <b val="1"/>
        <color rgb="00C0262A"/>
        <sz val="22"/>
      </font>
    </dxf>
    <dxf>
      <font>
        <name val="Arial"/>
        <b val="1"/>
        <color rgb="001E7B1E"/>
        <sz val="10"/>
      </font>
      <fill>
        <patternFill patternType="solid">
          <fgColor rgb="00E2F3E2"/>
        </patternFill>
      </fill>
    </dxf>
    <dxf>
      <font>
        <name val="Arial"/>
        <b val="1"/>
        <color rgb="008A6100"/>
        <sz val="10"/>
      </font>
      <fill>
        <patternFill patternType="solid">
          <fgColor rgb="00FFF2CC"/>
        </patternFill>
      </fill>
    </dxf>
    <dxf>
      <font>
        <name val="Arial"/>
        <b val="1"/>
        <color rgb="009A3F12"/>
        <sz val="10"/>
      </font>
      <fill>
        <patternFill patternType="solid">
          <fgColor rgb="00FDE4D7"/>
        </patternFill>
      </fill>
    </dxf>
    <dxf>
      <font>
        <name val="Arial"/>
        <b val="1"/>
        <color rgb="001C5CAB"/>
        <sz val="10"/>
      </font>
      <fill>
        <patternFill patternType="solid">
          <fgColor rgb="00E1ECFB"/>
        </patternFill>
      </fill>
    </dxf>
    <dxf>
      <font>
        <name val="Arial"/>
        <b val="1"/>
        <color rgb="009B1C1C"/>
        <sz val="10"/>
      </font>
      <fill>
        <patternFill patternType="solid">
          <fgColor rgb="00FBE3E3"/>
        </patternFill>
      </fill>
    </dxf>
    <dxf>
      <font>
        <name val="Arial"/>
        <b val="1"/>
        <color rgb="008A6100"/>
        <sz val="10"/>
      </font>
      <fill>
        <patternFill patternType="solid">
          <fgColor rgb="00FFF4D6"/>
        </patternFill>
      </fill>
    </dxf>
    <dxf>
      <font>
        <name val="Arial"/>
        <b val="1"/>
        <color rgb="006B7280"/>
        <sz val="10"/>
      </font>
      <fill>
        <patternFill patternType="solid">
          <fgColor rgb="00EEF1F5"/>
        </patternFill>
      </fill>
    </dxf>
    <dxf>
      <font>
        <name val="Arial"/>
        <b val="1"/>
        <color rgb="00C0262A"/>
        <sz val="10"/>
      </font>
    </dxf>
    <dxf>
      <font>
        <name val="Arial"/>
        <b val="1"/>
        <color rgb="008A6100"/>
        <sz val="10"/>
      </font>
    </dxf>
    <dxf>
      <font>
        <name val="Arial"/>
        <color rgb="006B728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owner and priority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'Dashboard'!C9</f>
            </strRef>
          </tx>
          <spPr>
            <a:solidFill xmlns:a="http://schemas.openxmlformats.org/drawingml/2006/main">
              <a:srgbClr val="1C5CAB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'Dashboard'!$C$10:$C$15</f>
            </numRef>
          </val>
        </ser>
        <ser>
          <idx val="1"/>
          <order val="1"/>
          <tx>
            <strRef>
              <f>'Dashboard'!D9</f>
            </strRef>
          </tx>
          <spPr>
            <a:solidFill xmlns:a="http://schemas.openxmlformats.org/drawingml/2006/main">
              <a:srgbClr val="5598E7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'Dashboard'!$D$10:$D$15</f>
            </numRef>
          </val>
        </ser>
        <ser>
          <idx val="2"/>
          <order val="2"/>
          <tx>
            <strRef>
              <f>'Dashboard'!E9</f>
            </strRef>
          </tx>
          <spPr>
            <a:solidFill xmlns:a="http://schemas.openxmlformats.org/drawingml/2006/main">
              <a:srgbClr val="B7D3F6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cat>
            <numRef>
              <f>'Dashboard'!$B$10:$B$15</f>
            </numRef>
          </cat>
          <val>
            <numRef>
              <f>'Dashboard'!$E$10:$E$15</f>
            </numRef>
          </val>
        </ser>
        <gapWidth val="6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items by due horizon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'Dashboard'!$B$24:$B$28</f>
            </numRef>
          </cat>
          <val>
            <numRef>
              <f>'Dashboard'!$C$24:$C$28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7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ctions" displayName="Actions" ref="A1:W23" headerRowCount="1">
  <autoFilter ref="A1:W23"/>
  <tableColumns count="23">
    <tableColumn id="1" name="task"/>
    <tableColumn id="2" name="owner"/>
    <tableColumn id="3" name="priority"/>
    <tableColumn id="4" name="status"/>
    <tableColumn id="5" name="due"/>
    <tableColumn id="6" name="project"/>
    <tableColumn id="7" name="team"/>
    <tableColumn id="8" name="type"/>
    <tableColumn id="9" name="next_step"/>
    <tableColumn id="10" name="unblocker"/>
    <tableColumn id="11" name="effort"/>
    <tableColumn id="12" name="blocked_by"/>
    <tableColumn id="13" name="prerequisites"/>
    <tableColumn id="14" name="notes"/>
    <tableColumn id="15" name="evidence"/>
    <tableColumn id="16" name="basis"/>
    <tableColumn id="17" name="meeting"/>
    <tableColumn id="18" name="origin"/>
    <tableColumn id="19" name="updated"/>
    <tableColumn id="20" name="closed"/>
    <tableColumn id="21" name="created"/>
    <tableColumn id="22" name="source"/>
    <tableColumn id="23" name="i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B1" s="1" t="inlineStr">
        <is>
          <t>Action tracker</t>
        </is>
      </c>
    </row>
    <row r="2">
      <c r="B2" s="2" t="inlineStr">
        <is>
          <t>Live: every number is a formula over the Actions sheet, so a status changed there moves this page at once. Owner and project lists refresh on each run (last 2026-09-17). Edits that should stick belong in the Google Sheet.</t>
        </is>
      </c>
    </row>
    <row r="4" ht="16" customHeight="1">
      <c r="B4" s="3" t="inlineStr">
        <is>
          <t>OPEN ITEMS</t>
        </is>
      </c>
      <c r="C4" s="4" t="inlineStr">
        <is>
          <t>P1 OPEN</t>
        </is>
      </c>
      <c r="D4" s="4" t="inlineStr">
        <is>
          <t>OVERDUE</t>
        </is>
      </c>
      <c r="E4" s="3" t="inlineStr">
        <is>
          <t>DUE TODAY</t>
        </is>
      </c>
      <c r="F4" s="3" t="inlineStr">
        <is>
          <t>TO VERIFY</t>
        </is>
      </c>
      <c r="G4" s="3" t="inlineStr">
        <is>
          <t>BLOCKED</t>
        </is>
      </c>
      <c r="H4" s="3" t="inlineStr">
        <is>
          <t>DONE</t>
        </is>
      </c>
    </row>
    <row r="5" ht="34" customHeight="1">
      <c r="B5" s="5">
        <f>SUMPRODUCT(COUNTIFS(Actions!$D$2:$D$5000,{"blocked","in_progress","open","to_verify"}))</f>
        <v/>
      </c>
      <c r="C5" s="6">
        <f>SUMPRODUCT(COUNTIFS(Actions!$D$2:$D$5000,{"blocked","in_progress","open","to_verify"},Actions!$C$2:$C$5000,"P1"))</f>
        <v/>
      </c>
      <c r="D5" s="6">
        <f>SUMPRODUCT(COUNTIFS(Actions!$D$2:$D$5000,{"blocked","in_progress","open","to_verify"},Actions!$E$2:$E$5000,"&lt;"&amp;TODAY()))</f>
        <v/>
      </c>
      <c r="E5" s="5">
        <f>SUMPRODUCT(COUNTIFS(Actions!$D$2:$D$5000,{"blocked","in_progress","open","to_verify"},Actions!$E$2:$E$5000,TODAY()))</f>
        <v/>
      </c>
      <c r="F5" s="5">
        <f>COUNTIF(Actions!$D$2:$D$5000,"to_verify")</f>
        <v/>
      </c>
      <c r="G5" s="5">
        <f>COUNTIF(Actions!$D$2:$D$5000,"blocked")</f>
        <v/>
      </c>
      <c r="H5" s="5">
        <f>COUNTIF(Actions!$D$2:$D$5000,"done")</f>
        <v/>
      </c>
    </row>
    <row r="8">
      <c r="B8" s="7" t="inlineStr">
        <is>
          <t>Open items by owner</t>
        </is>
      </c>
      <c r="D8" s="2" t="inlineStr">
        <is>
          <t>stacked by priority; the chart on the right reads from this table</t>
        </is>
      </c>
    </row>
    <row r="9" ht="18" customHeight="1">
      <c r="B9" s="8" t="inlineStr">
        <is>
          <t>Owner</t>
        </is>
      </c>
      <c r="C9" s="9" t="inlineStr">
        <is>
          <t>P1</t>
        </is>
      </c>
      <c r="D9" s="9" t="inlineStr">
        <is>
          <t>P2</t>
        </is>
      </c>
      <c r="E9" s="9" t="inlineStr">
        <is>
          <t>P3</t>
        </is>
      </c>
      <c r="F9" s="9" t="inlineStr">
        <is>
          <t>Open</t>
        </is>
      </c>
      <c r="G9" s="9" t="inlineStr">
        <is>
          <t>Overdue</t>
        </is>
      </c>
    </row>
    <row r="10">
      <c r="B10" s="10" t="inlineStr">
        <is>
          <t>Ashwini</t>
        </is>
      </c>
      <c r="C10" s="11">
        <f>SUMPRODUCT(COUNTIFS(Actions!$D$2:$D$5000,{"blocked","in_progress","open","to_verify"},Actions!$B$2:$B$5000,$B10,Actions!$C$2:$C$5000,"P1"))</f>
        <v/>
      </c>
      <c r="D10" s="11">
        <f>SUMPRODUCT(COUNTIFS(Actions!$D$2:$D$5000,{"blocked","in_progress","open","to_verify"},Actions!$B$2:$B$5000,$B10,Actions!$C$2:$C$5000,"P2"))</f>
        <v/>
      </c>
      <c r="E10" s="11">
        <f>SUMPRODUCT(COUNTIFS(Actions!$D$2:$D$5000,{"blocked","in_progress","open","to_verify"},Actions!$B$2:$B$5000,$B10,Actions!$C$2:$C$5000,"P3"))</f>
        <v/>
      </c>
      <c r="F10" s="12">
        <f>SUMPRODUCT(COUNTIFS(Actions!$D$2:$D$5000,{"blocked","in_progress","open","to_verify"},Actions!$B$2:$B$5000,$B10))</f>
        <v/>
      </c>
      <c r="G10" s="11">
        <f>SUMPRODUCT(COUNTIFS(Actions!$D$2:$D$5000,{"blocked","in_progress","open","to_verify"},Actions!$B$2:$B$5000,$B10,Actions!$E$2:$E$5000,"&lt;"&amp;TODAY()))</f>
        <v/>
      </c>
    </row>
    <row r="11">
      <c r="B11" s="10" t="inlineStr">
        <is>
          <t>Laxmikant</t>
        </is>
      </c>
      <c r="C11" s="11">
        <f>SUMPRODUCT(COUNTIFS(Actions!$D$2:$D$5000,{"blocked","in_progress","open","to_verify"},Actions!$B$2:$B$5000,$B11,Actions!$C$2:$C$5000,"P1"))</f>
        <v/>
      </c>
      <c r="D11" s="11">
        <f>SUMPRODUCT(COUNTIFS(Actions!$D$2:$D$5000,{"blocked","in_progress","open","to_verify"},Actions!$B$2:$B$5000,$B11,Actions!$C$2:$C$5000,"P2"))</f>
        <v/>
      </c>
      <c r="E11" s="11">
        <f>SUMPRODUCT(COUNTIFS(Actions!$D$2:$D$5000,{"blocked","in_progress","open","to_verify"},Actions!$B$2:$B$5000,$B11,Actions!$C$2:$C$5000,"P3"))</f>
        <v/>
      </c>
      <c r="F11" s="12">
        <f>SUMPRODUCT(COUNTIFS(Actions!$D$2:$D$5000,{"blocked","in_progress","open","to_verify"},Actions!$B$2:$B$5000,$B11))</f>
        <v/>
      </c>
      <c r="G11" s="11">
        <f>SUMPRODUCT(COUNTIFS(Actions!$D$2:$D$5000,{"blocked","in_progress","open","to_verify"},Actions!$B$2:$B$5000,$B11,Actions!$E$2:$E$5000,"&lt;"&amp;TODAY()))</f>
        <v/>
      </c>
    </row>
    <row r="12">
      <c r="B12" s="10" t="inlineStr">
        <is>
          <t>Johan</t>
        </is>
      </c>
      <c r="C12" s="11">
        <f>SUMPRODUCT(COUNTIFS(Actions!$D$2:$D$5000,{"blocked","in_progress","open","to_verify"},Actions!$B$2:$B$5000,$B12,Actions!$C$2:$C$5000,"P1"))</f>
        <v/>
      </c>
      <c r="D12" s="11">
        <f>SUMPRODUCT(COUNTIFS(Actions!$D$2:$D$5000,{"blocked","in_progress","open","to_verify"},Actions!$B$2:$B$5000,$B12,Actions!$C$2:$C$5000,"P2"))</f>
        <v/>
      </c>
      <c r="E12" s="11">
        <f>SUMPRODUCT(COUNTIFS(Actions!$D$2:$D$5000,{"blocked","in_progress","open","to_verify"},Actions!$B$2:$B$5000,$B12,Actions!$C$2:$C$5000,"P3"))</f>
        <v/>
      </c>
      <c r="F12" s="12">
        <f>SUMPRODUCT(COUNTIFS(Actions!$D$2:$D$5000,{"blocked","in_progress","open","to_verify"},Actions!$B$2:$B$5000,$B12))</f>
        <v/>
      </c>
      <c r="G12" s="11">
        <f>SUMPRODUCT(COUNTIFS(Actions!$D$2:$D$5000,{"blocked","in_progress","open","to_verify"},Actions!$B$2:$B$5000,$B12,Actions!$E$2:$E$5000,"&lt;"&amp;TODAY()))</f>
        <v/>
      </c>
    </row>
    <row r="13">
      <c r="B13" s="10" t="inlineStr">
        <is>
          <t>Samuel</t>
        </is>
      </c>
      <c r="C13" s="11">
        <f>SUMPRODUCT(COUNTIFS(Actions!$D$2:$D$5000,{"blocked","in_progress","open","to_verify"},Actions!$B$2:$B$5000,$B13,Actions!$C$2:$C$5000,"P1"))</f>
        <v/>
      </c>
      <c r="D13" s="11">
        <f>SUMPRODUCT(COUNTIFS(Actions!$D$2:$D$5000,{"blocked","in_progress","open","to_verify"},Actions!$B$2:$B$5000,$B13,Actions!$C$2:$C$5000,"P2"))</f>
        <v/>
      </c>
      <c r="E13" s="11">
        <f>SUMPRODUCT(COUNTIFS(Actions!$D$2:$D$5000,{"blocked","in_progress","open","to_verify"},Actions!$B$2:$B$5000,$B13,Actions!$C$2:$C$5000,"P3"))</f>
        <v/>
      </c>
      <c r="F13" s="12">
        <f>SUMPRODUCT(COUNTIFS(Actions!$D$2:$D$5000,{"blocked","in_progress","open","to_verify"},Actions!$B$2:$B$5000,$B13))</f>
        <v/>
      </c>
      <c r="G13" s="11">
        <f>SUMPRODUCT(COUNTIFS(Actions!$D$2:$D$5000,{"blocked","in_progress","open","to_verify"},Actions!$B$2:$B$5000,$B13,Actions!$E$2:$E$5000,"&lt;"&amp;TODAY()))</f>
        <v/>
      </c>
    </row>
    <row r="14">
      <c r="B14" s="10" t="inlineStr">
        <is>
          <t>Ayush</t>
        </is>
      </c>
      <c r="C14" s="11">
        <f>SUMPRODUCT(COUNTIFS(Actions!$D$2:$D$5000,{"blocked","in_progress","open","to_verify"},Actions!$B$2:$B$5000,$B14,Actions!$C$2:$C$5000,"P1"))</f>
        <v/>
      </c>
      <c r="D14" s="11">
        <f>SUMPRODUCT(COUNTIFS(Actions!$D$2:$D$5000,{"blocked","in_progress","open","to_verify"},Actions!$B$2:$B$5000,$B14,Actions!$C$2:$C$5000,"P2"))</f>
        <v/>
      </c>
      <c r="E14" s="11">
        <f>SUMPRODUCT(COUNTIFS(Actions!$D$2:$D$5000,{"blocked","in_progress","open","to_verify"},Actions!$B$2:$B$5000,$B14,Actions!$C$2:$C$5000,"P3"))</f>
        <v/>
      </c>
      <c r="F14" s="12">
        <f>SUMPRODUCT(COUNTIFS(Actions!$D$2:$D$5000,{"blocked","in_progress","open","to_verify"},Actions!$B$2:$B$5000,$B14))</f>
        <v/>
      </c>
      <c r="G14" s="11">
        <f>SUMPRODUCT(COUNTIFS(Actions!$D$2:$D$5000,{"blocked","in_progress","open","to_verify"},Actions!$B$2:$B$5000,$B14,Actions!$E$2:$E$5000,"&lt;"&amp;TODAY()))</f>
        <v/>
      </c>
    </row>
    <row r="15">
      <c r="B15" s="10" t="inlineStr">
        <is>
          <t>Sarathchandra Babu</t>
        </is>
      </c>
      <c r="C15" s="11">
        <f>SUMPRODUCT(COUNTIFS(Actions!$D$2:$D$5000,{"blocked","in_progress","open","to_verify"},Actions!$B$2:$B$5000,$B15,Actions!$C$2:$C$5000,"P1"))</f>
        <v/>
      </c>
      <c r="D15" s="11">
        <f>SUMPRODUCT(COUNTIFS(Actions!$D$2:$D$5000,{"blocked","in_progress","open","to_verify"},Actions!$B$2:$B$5000,$B15,Actions!$C$2:$C$5000,"P2"))</f>
        <v/>
      </c>
      <c r="E15" s="11">
        <f>SUMPRODUCT(COUNTIFS(Actions!$D$2:$D$5000,{"blocked","in_progress","open","to_verify"},Actions!$B$2:$B$5000,$B15,Actions!$C$2:$C$5000,"P3"))</f>
        <v/>
      </c>
      <c r="F15" s="12">
        <f>SUMPRODUCT(COUNTIFS(Actions!$D$2:$D$5000,{"blocked","in_progress","open","to_verify"},Actions!$B$2:$B$5000,$B15))</f>
        <v/>
      </c>
      <c r="G15" s="11">
        <f>SUMPRODUCT(COUNTIFS(Actions!$D$2:$D$5000,{"blocked","in_progress","open","to_verify"},Actions!$B$2:$B$5000,$B15,Actions!$E$2:$E$5000,"&lt;"&amp;TODAY()))</f>
        <v/>
      </c>
    </row>
    <row r="16">
      <c r="B16" s="13" t="inlineStr">
        <is>
          <t>Total</t>
        </is>
      </c>
      <c r="C16" s="14">
        <f>SUM(C10:C15)</f>
        <v/>
      </c>
      <c r="D16" s="14">
        <f>SUM(D10:D15)</f>
        <v/>
      </c>
      <c r="E16" s="14">
        <f>SUM(E10:E15)</f>
        <v/>
      </c>
      <c r="F16" s="14">
        <f>SUM(F10:F15)</f>
        <v/>
      </c>
      <c r="G16" s="14">
        <f>SUM(G10:G15)</f>
        <v/>
      </c>
    </row>
    <row r="22">
      <c r="B22" s="7" t="inlineStr">
        <is>
          <t>When is it due</t>
        </is>
      </c>
      <c r="D22" s="2" t="inlineStr">
        <is>
          <t>open items only</t>
        </is>
      </c>
    </row>
    <row r="23" ht="18" customHeight="1">
      <c r="B23" s="8" t="inlineStr">
        <is>
          <t>Horizon</t>
        </is>
      </c>
      <c r="C23" s="9" t="inlineStr">
        <is>
          <t>Items</t>
        </is>
      </c>
      <c r="D23" s="9" t="inlineStr">
        <is>
          <t>P1</t>
        </is>
      </c>
    </row>
    <row r="24">
      <c r="B24" s="10" t="inlineStr">
        <is>
          <t>Overdue</t>
        </is>
      </c>
      <c r="C24" s="12">
        <f>SUMPRODUCT(COUNTIFS(Actions!$D$2:$D$5000,{"blocked","in_progress","open","to_verify"},Actions!$E$2:$E$5000,"&lt;"&amp;TODAY()))</f>
        <v/>
      </c>
      <c r="D24" s="11">
        <f>SUMPRODUCT(COUNTIFS(Actions!$D$2:$D$5000,{"blocked","in_progress","open","to_verify"},Actions!$E$2:$E$5000,"&lt;"&amp;TODAY(),Actions!$C$2:$C$5000,"P1"))</f>
        <v/>
      </c>
    </row>
    <row r="25">
      <c r="B25" s="10" t="inlineStr">
        <is>
          <t>Due today</t>
        </is>
      </c>
      <c r="C25" s="12">
        <f>SUMPRODUCT(COUNTIFS(Actions!$D$2:$D$5000,{"blocked","in_progress","open","to_verify"},Actions!$E$2:$E$5000,TODAY()))</f>
        <v/>
      </c>
      <c r="D25" s="11">
        <f>SUMPRODUCT(COUNTIFS(Actions!$D$2:$D$5000,{"blocked","in_progress","open","to_verify"},Actions!$E$2:$E$5000,TODAY(),Actions!$C$2:$C$5000,"P1"))</f>
        <v/>
      </c>
    </row>
    <row r="26">
      <c r="B26" s="10" t="inlineStr">
        <is>
          <t>Next 7 days</t>
        </is>
      </c>
      <c r="C26" s="12">
        <f>SUMPRODUCT(COUNTIFS(Actions!$D$2:$D$5000,{"blocked","in_progress","open","to_verify"},Actions!$E$2:$E$5000,"&gt;"&amp;TODAY(),Actions!$E$2:$E$5000,"&lt;="&amp;TODAY()+7))</f>
        <v/>
      </c>
      <c r="D26" s="11">
        <f>SUMPRODUCT(COUNTIFS(Actions!$D$2:$D$5000,{"blocked","in_progress","open","to_verify"},Actions!$E$2:$E$5000,"&gt;"&amp;TODAY(),Actions!$E$2:$E$5000,"&lt;="&amp;TODAY()+7,Actions!$C$2:$C$5000,"P1"))</f>
        <v/>
      </c>
    </row>
    <row r="27">
      <c r="B27" s="10" t="inlineStr">
        <is>
          <t>Later</t>
        </is>
      </c>
      <c r="C27" s="12">
        <f>SUMPRODUCT(COUNTIFS(Actions!$D$2:$D$5000,{"blocked","in_progress","open","to_verify"},Actions!$E$2:$E$5000,"&gt;"&amp;TODAY()+7))</f>
        <v/>
      </c>
      <c r="D27" s="11">
        <f>SUMPRODUCT(COUNTIFS(Actions!$D$2:$D$5000,{"blocked","in_progress","open","to_verify"},Actions!$E$2:$E$5000,"&gt;"&amp;TODAY()+7,Actions!$C$2:$C$5000,"P1"))</f>
        <v/>
      </c>
    </row>
    <row r="28">
      <c r="B28" s="10" t="inlineStr">
        <is>
          <t>No date</t>
        </is>
      </c>
      <c r="C28" s="12">
        <f>SUMPRODUCT(COUNTIFS(Actions!$D$2:$D$5000,{"blocked","in_progress","open","to_verify"},Actions!$E$2:$E$5000,""))</f>
        <v/>
      </c>
      <c r="D28" s="11">
        <f>SUMPRODUCT(COUNTIFS(Actions!$D$2:$D$5000,{"blocked","in_progress","open","to_verify"},Actions!$E$2:$E$5000,"",Actions!$C$2:$C$5000,"P1"))</f>
        <v/>
      </c>
    </row>
    <row r="31">
      <c r="B31" s="7" t="inlineStr">
        <is>
          <t>By project</t>
        </is>
      </c>
    </row>
    <row r="32" ht="18" customHeight="1">
      <c r="B32" s="8" t="inlineStr">
        <is>
          <t>Project</t>
        </is>
      </c>
      <c r="C32" s="9" t="inlineStr">
        <is>
          <t>Open</t>
        </is>
      </c>
      <c r="D32" s="9" t="inlineStr">
        <is>
          <t>P1</t>
        </is>
      </c>
      <c r="E32" s="9" t="inlineStr">
        <is>
          <t>Overdue</t>
        </is>
      </c>
      <c r="F32" s="9" t="inlineStr">
        <is>
          <t>Done</t>
        </is>
      </c>
    </row>
    <row r="33">
      <c r="B33" s="10" t="inlineStr">
        <is>
          <t>intelligent-tracker</t>
        </is>
      </c>
      <c r="C33" s="12">
        <f>SUMPRODUCT(COUNTIFS(Actions!$D$2:$D$5000,{"blocked","in_progress","open","to_verify"},Actions!$F$2:$F$5000,$B33))</f>
        <v/>
      </c>
      <c r="D33" s="11">
        <f>SUMPRODUCT(COUNTIFS(Actions!$D$2:$D$5000,{"blocked","in_progress","open","to_verify"},Actions!$F$2:$F$5000,$B33,Actions!$C$2:$C$5000,"P1"))</f>
        <v/>
      </c>
      <c r="E33" s="11">
        <f>SUMPRODUCT(COUNTIFS(Actions!$D$2:$D$5000,{"blocked","in_progress","open","to_verify"},Actions!$F$2:$F$5000,$B33,Actions!$E$2:$E$5000,"&lt;"&amp;TODAY()))</f>
        <v/>
      </c>
      <c r="F33" s="11">
        <f>COUNTIFS(Actions!$F$2:$F$5000,$B33,Actions!$D$2:$D$5000,"done")</f>
        <v/>
      </c>
    </row>
    <row r="34">
      <c r="B34" s="10" t="inlineStr">
        <is>
          <t>lsp</t>
        </is>
      </c>
      <c r="C34" s="12">
        <f>SUMPRODUCT(COUNTIFS(Actions!$D$2:$D$5000,{"blocked","in_progress","open","to_verify"},Actions!$F$2:$F$5000,$B34))</f>
        <v/>
      </c>
      <c r="D34" s="11">
        <f>SUMPRODUCT(COUNTIFS(Actions!$D$2:$D$5000,{"blocked","in_progress","open","to_verify"},Actions!$F$2:$F$5000,$B34,Actions!$C$2:$C$5000,"P1"))</f>
        <v/>
      </c>
      <c r="E34" s="11">
        <f>SUMPRODUCT(COUNTIFS(Actions!$D$2:$D$5000,{"blocked","in_progress","open","to_verify"},Actions!$F$2:$F$5000,$B34,Actions!$E$2:$E$5000,"&lt;"&amp;TODAY()))</f>
        <v/>
      </c>
      <c r="F34" s="11">
        <f>COUNTIFS(Actions!$F$2:$F$5000,$B34,Actions!$D$2:$D$5000,"done")</f>
        <v/>
      </c>
    </row>
    <row r="35">
      <c r="B35" s="10" t="inlineStr">
        <is>
          <t>unassigned</t>
        </is>
      </c>
      <c r="C35" s="12">
        <f>SUMPRODUCT(COUNTIFS(Actions!$D$2:$D$5000,{"blocked","in_progress","open","to_verify"},Actions!$F$2:$F$5000,$B35))</f>
        <v/>
      </c>
      <c r="D35" s="11">
        <f>SUMPRODUCT(COUNTIFS(Actions!$D$2:$D$5000,{"blocked","in_progress","open","to_verify"},Actions!$F$2:$F$5000,$B35,Actions!$C$2:$C$5000,"P1"))</f>
        <v/>
      </c>
      <c r="E35" s="11">
        <f>SUMPRODUCT(COUNTIFS(Actions!$D$2:$D$5000,{"blocked","in_progress","open","to_verify"},Actions!$F$2:$F$5000,$B35,Actions!$E$2:$E$5000,"&lt;"&amp;TODAY()))</f>
        <v/>
      </c>
      <c r="F35" s="11">
        <f>COUNTIFS(Actions!$F$2:$F$5000,$B35,Actions!$D$2:$D$5000,"done")</f>
        <v/>
      </c>
    </row>
    <row r="38">
      <c r="B38" s="7" t="inlineStr">
        <is>
          <t>By status</t>
        </is>
      </c>
    </row>
    <row r="39" ht="18" customHeight="1">
      <c r="B39" s="8" t="inlineStr">
        <is>
          <t>Status</t>
        </is>
      </c>
      <c r="C39" s="9" t="inlineStr">
        <is>
          <t>Items</t>
        </is>
      </c>
    </row>
    <row r="40">
      <c r="B40" s="10" t="inlineStr">
        <is>
          <t>blocked</t>
        </is>
      </c>
      <c r="C40" s="12">
        <f>COUNTIF(Actions!$D$2:$D$5000,$B40)</f>
        <v/>
      </c>
    </row>
    <row r="41">
      <c r="B41" s="10" t="inlineStr">
        <is>
          <t>in_progress</t>
        </is>
      </c>
      <c r="C41" s="12">
        <f>COUNTIF(Actions!$D$2:$D$5000,$B41)</f>
        <v/>
      </c>
    </row>
    <row r="42">
      <c r="B42" s="10" t="inlineStr">
        <is>
          <t>open</t>
        </is>
      </c>
      <c r="C42" s="12">
        <f>COUNTIF(Actions!$D$2:$D$5000,$B42)</f>
        <v/>
      </c>
    </row>
    <row r="43">
      <c r="B43" s="10" t="inlineStr">
        <is>
          <t>to_verify</t>
        </is>
      </c>
      <c r="C43" s="12">
        <f>COUNTIF(Actions!$D$2:$D$5000,$B43)</f>
        <v/>
      </c>
    </row>
    <row r="44">
      <c r="B44" s="10" t="inlineStr">
        <is>
          <t>done</t>
        </is>
      </c>
      <c r="C44" s="12">
        <f>COUNTIF(Actions!$D$2:$D$5000,$B44)</f>
        <v/>
      </c>
    </row>
    <row r="45">
      <c r="B45" s="10" t="inlineStr">
        <is>
          <t>rejected</t>
        </is>
      </c>
      <c r="C45" s="12">
        <f>COUNTIF(Actions!$D$2:$D$5000,$B45)</f>
        <v/>
      </c>
    </row>
    <row r="47" ht="16" customHeight="1">
      <c r="B47" s="2" t="inlineStr">
        <is>
          <t>Reading the Actions sheet: rows are ordered open first, then P1 to P3, then by due date. Red priority = P1; amber status = reported complete, waiting for your confirmation (to_verify); orange = blocked; green = done; a red due date is overdue. Only you set done.</t>
        </is>
      </c>
    </row>
    <row r="48" ht="16" customHeight="1"/>
  </sheetData>
  <mergeCells count="4">
    <mergeCell ref="B2:Q2"/>
    <mergeCell ref="D8:Q8"/>
    <mergeCell ref="B47:Q48"/>
    <mergeCell ref="D22:Q22"/>
  </mergeCells>
  <conditionalFormatting sqref="C5">
    <cfRule type="expression" priority="1" dxfId="0">
      <formula>C5&gt;0</formula>
    </cfRule>
  </conditionalFormatting>
  <conditionalFormatting sqref="D5">
    <cfRule type="expression" priority="2" dxfId="0">
      <formula>D5&gt;0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2" customWidth="1" min="4" max="4"/>
    <col width="11" customWidth="1" min="5" max="5"/>
    <col width="18" customWidth="1" min="6" max="6"/>
    <col width="16" customWidth="1" min="7" max="7"/>
    <col width="12" customWidth="1" min="8" max="8"/>
    <col width="40" customWidth="1" min="9" max="9"/>
    <col width="13" customWidth="1" min="10" max="10"/>
    <col width="9" customWidth="1" min="11" max="11"/>
    <col width="20" customWidth="1" min="12" max="12"/>
    <col width="26" customWidth="1" min="13" max="13"/>
    <col width="40" customWidth="1" min="14" max="14"/>
    <col width="45" customWidth="1" min="15" max="15"/>
    <col width="26" customWidth="1" min="16" max="16"/>
    <col width="24" customWidth="1" min="17" max="17"/>
    <col width="10" customWidth="1" min="18" max="18"/>
    <col width="11" customWidth="1" min="19" max="19"/>
    <col width="11" customWidth="1" min="20" max="20"/>
    <col width="11" customWidth="1" min="21" max="21"/>
    <col width="32" customWidth="1" min="22" max="22"/>
    <col width="32" customWidth="1" min="23" max="23"/>
  </cols>
  <sheetData>
    <row r="1" ht="24" customHeight="1">
      <c r="A1" s="15" t="inlineStr">
        <is>
          <t>task</t>
        </is>
      </c>
      <c r="B1" s="15" t="inlineStr">
        <is>
          <t>owner</t>
        </is>
      </c>
      <c r="C1" s="15" t="inlineStr">
        <is>
          <t>priority</t>
        </is>
      </c>
      <c r="D1" s="15" t="inlineStr">
        <is>
          <t>status</t>
        </is>
      </c>
      <c r="E1" s="15" t="inlineStr">
        <is>
          <t>due</t>
        </is>
      </c>
      <c r="F1" s="15" t="inlineStr">
        <is>
          <t>project</t>
        </is>
      </c>
      <c r="G1" s="15" t="inlineStr">
        <is>
          <t>team</t>
        </is>
      </c>
      <c r="H1" s="15" t="inlineStr">
        <is>
          <t>type</t>
        </is>
      </c>
      <c r="I1" s="15" t="inlineStr">
        <is>
          <t>next_step</t>
        </is>
      </c>
      <c r="J1" s="15" t="inlineStr">
        <is>
          <t>unblocker</t>
        </is>
      </c>
      <c r="K1" s="15" t="inlineStr">
        <is>
          <t>effort</t>
        </is>
      </c>
      <c r="L1" s="15" t="inlineStr">
        <is>
          <t>blocked_by</t>
        </is>
      </c>
      <c r="M1" s="15" t="inlineStr">
        <is>
          <t>prerequisites</t>
        </is>
      </c>
      <c r="N1" s="15" t="inlineStr">
        <is>
          <t>notes</t>
        </is>
      </c>
      <c r="O1" s="15" t="inlineStr">
        <is>
          <t>evidence</t>
        </is>
      </c>
      <c r="P1" s="15" t="inlineStr">
        <is>
          <t>basis</t>
        </is>
      </c>
      <c r="Q1" s="15" t="inlineStr">
        <is>
          <t>meeting</t>
        </is>
      </c>
      <c r="R1" s="15" t="inlineStr">
        <is>
          <t>origin</t>
        </is>
      </c>
      <c r="S1" s="15" t="inlineStr">
        <is>
          <t>updated</t>
        </is>
      </c>
      <c r="T1" s="15" t="inlineStr">
        <is>
          <t>closed</t>
        </is>
      </c>
      <c r="U1" s="15" t="inlineStr">
        <is>
          <t>created</t>
        </is>
      </c>
      <c r="V1" s="15" t="inlineStr">
        <is>
          <t>source</t>
        </is>
      </c>
      <c r="W1" s="15" t="inlineStr">
        <is>
          <t>id</t>
        </is>
      </c>
    </row>
    <row r="2">
      <c r="A2" s="16" t="inlineStr">
        <is>
          <t>Sign off on the reviewed database design after today's walkthrough.</t>
        </is>
      </c>
      <c r="B2" s="16" t="inlineStr">
        <is>
          <t>Ashwini</t>
        </is>
      </c>
      <c r="C2" s="17" t="inlineStr">
        <is>
          <t>P1</t>
        </is>
      </c>
      <c r="D2" s="17" t="inlineStr">
        <is>
          <t>open</t>
        </is>
      </c>
      <c r="E2" s="18" t="n">
        <v>46276</v>
      </c>
      <c r="F2" s="16" t="inlineStr">
        <is>
          <t>intelligent-tracker</t>
        </is>
      </c>
      <c r="G2" s="16" t="inlineStr">
        <is>
          <t>Intelligent Tracker</t>
        </is>
      </c>
      <c r="H2" s="16" t="inlineStr"/>
      <c r="I2" s="16" t="inlineStr"/>
      <c r="J2" s="16" t="inlineStr"/>
      <c r="K2" s="17" t="inlineStr"/>
      <c r="L2" s="16" t="inlineStr"/>
      <c r="M2" s="16" t="inlineStr"/>
      <c r="N2" s="16" t="inlineStr"/>
      <c r="O2" s="16" t="inlineStr">
        <is>
          <t>I will be signing off on the Debi after the review</t>
        </is>
      </c>
      <c r="P2" s="16" t="inlineStr"/>
      <c r="Q2" s="16" t="inlineStr">
        <is>
          <t>Activity Tracker internal sync-up</t>
        </is>
      </c>
      <c r="R2" s="17" t="inlineStr">
        <is>
          <t>planned</t>
        </is>
      </c>
      <c r="S2" s="18" t="n">
        <v>46281</v>
      </c>
      <c r="T2" s="18" t="n"/>
      <c r="U2" s="18" t="n">
        <v>46276</v>
      </c>
      <c r="V2" s="16" t="inlineStr">
        <is>
          <t>2026-09-11-activity-tracker-sync.md</t>
        </is>
      </c>
      <c r="W2" s="16" t="inlineStr">
        <is>
          <t>2026-09-11-intelligent-tracker-01</t>
        </is>
      </c>
    </row>
    <row r="3">
      <c r="A3" s="16" t="inlineStr">
        <is>
          <t>Work with Ashwini on the overall workflow solution design document.</t>
        </is>
      </c>
      <c r="B3" s="16" t="inlineStr">
        <is>
          <t>Laxmikant</t>
        </is>
      </c>
      <c r="C3" s="17" t="inlineStr">
        <is>
          <t>P1</t>
        </is>
      </c>
      <c r="D3" s="17" t="inlineStr">
        <is>
          <t>open</t>
        </is>
      </c>
      <c r="E3" s="18" t="n">
        <v>46276</v>
      </c>
      <c r="F3" s="16" t="inlineStr">
        <is>
          <t>intelligent-tracker</t>
        </is>
      </c>
      <c r="G3" s="16" t="inlineStr">
        <is>
          <t>Intelligent Tracker</t>
        </is>
      </c>
      <c r="H3" s="16" t="inlineStr"/>
      <c r="I3" s="16" t="inlineStr"/>
      <c r="J3" s="16" t="inlineStr"/>
      <c r="K3" s="17" t="inlineStr"/>
      <c r="L3" s="16" t="inlineStr"/>
      <c r="M3" s="16" t="inlineStr"/>
      <c r="N3" s="16" t="inlineStr"/>
      <c r="O3" s="16" t="inlineStr">
        <is>
          <t>Lakshmi and I will be working on the proper workflow solution design</t>
        </is>
      </c>
      <c r="P3" s="16" t="inlineStr"/>
      <c r="Q3" s="16" t="inlineStr">
        <is>
          <t>Activity Tracker internal sync-up</t>
        </is>
      </c>
      <c r="R3" s="17" t="inlineStr">
        <is>
          <t>planned</t>
        </is>
      </c>
      <c r="S3" s="18" t="n">
        <v>46281</v>
      </c>
      <c r="T3" s="18" t="n"/>
      <c r="U3" s="18" t="n">
        <v>46276</v>
      </c>
      <c r="V3" s="16" t="inlineStr">
        <is>
          <t>2026-09-11-activity-tracker-sync.md</t>
        </is>
      </c>
      <c r="W3" s="16" t="inlineStr">
        <is>
          <t>2026-09-11-intelligent-tracker-04</t>
        </is>
      </c>
    </row>
    <row r="4">
      <c r="A4" s="16" t="inlineStr">
        <is>
          <t>Change the CR Notes field UI from a single-line text box to a multi-line text box as Sreekumar requested.</t>
        </is>
      </c>
      <c r="B4" s="16" t="inlineStr">
        <is>
          <t>Johan</t>
        </is>
      </c>
      <c r="C4" s="17" t="inlineStr">
        <is>
          <t>P1</t>
        </is>
      </c>
      <c r="D4" s="17" t="inlineStr">
        <is>
          <t>open</t>
        </is>
      </c>
      <c r="E4" s="18" t="n">
        <v>46276</v>
      </c>
      <c r="F4" s="16" t="inlineStr">
        <is>
          <t>intelligent-tracker</t>
        </is>
      </c>
      <c r="G4" s="16" t="inlineStr">
        <is>
          <t>Intelligent Tracker</t>
        </is>
      </c>
      <c r="H4" s="16" t="inlineStr"/>
      <c r="I4" s="16" t="inlineStr"/>
      <c r="J4" s="16" t="inlineStr"/>
      <c r="K4" s="17" t="inlineStr"/>
      <c r="L4" s="16" t="inlineStr"/>
      <c r="M4" s="16" t="inlineStr"/>
      <c r="N4" s="16" t="inlineStr"/>
      <c r="O4" s="16" t="inlineStr">
        <is>
          <t>Change the UI. I'll change it.</t>
        </is>
      </c>
      <c r="P4" s="16" t="inlineStr"/>
      <c r="Q4" s="16" t="inlineStr">
        <is>
          <t>Activity Tracker internal sync-up</t>
        </is>
      </c>
      <c r="R4" s="17" t="inlineStr">
        <is>
          <t>planned</t>
        </is>
      </c>
      <c r="S4" s="18" t="n">
        <v>46281</v>
      </c>
      <c r="T4" s="18" t="n"/>
      <c r="U4" s="18" t="n">
        <v>46276</v>
      </c>
      <c r="V4" s="16" t="inlineStr">
        <is>
          <t>2026-09-11-activity-tracker-sync.md</t>
        </is>
      </c>
      <c r="W4" s="16" t="inlineStr">
        <is>
          <t>2026-09-11-intelligent-tracker-05</t>
        </is>
      </c>
    </row>
    <row r="5">
      <c r="A5" s="16" t="inlineStr">
        <is>
          <t>Write detailed user stories for the Change Request module workflow and share them with Ashwini and Laxmikant.</t>
        </is>
      </c>
      <c r="B5" s="16" t="inlineStr">
        <is>
          <t>Johan</t>
        </is>
      </c>
      <c r="C5" s="17" t="inlineStr">
        <is>
          <t>P1</t>
        </is>
      </c>
      <c r="D5" s="17" t="inlineStr">
        <is>
          <t>open</t>
        </is>
      </c>
      <c r="E5" s="18" t="n">
        <v>46276</v>
      </c>
      <c r="F5" s="16" t="inlineStr">
        <is>
          <t>intelligent-tracker</t>
        </is>
      </c>
      <c r="G5" s="16" t="inlineStr">
        <is>
          <t>Intelligent Tracker</t>
        </is>
      </c>
      <c r="H5" s="16" t="inlineStr"/>
      <c r="I5" s="16" t="inlineStr"/>
      <c r="J5" s="16" t="inlineStr"/>
      <c r="K5" s="17" t="inlineStr"/>
      <c r="L5" s="16" t="inlineStr"/>
      <c r="M5" s="16" t="inlineStr"/>
      <c r="N5" s="16" t="inlineStr"/>
      <c r="O5" s="16" t="inlineStr">
        <is>
          <t>you share it to Ashwini B and Lakshmi Lakshmi</t>
        </is>
      </c>
      <c r="P5" s="16" t="inlineStr"/>
      <c r="Q5" s="16" t="inlineStr">
        <is>
          <t>Activity Tracker internal sync-up</t>
        </is>
      </c>
      <c r="R5" s="17" t="inlineStr">
        <is>
          <t>planned</t>
        </is>
      </c>
      <c r="S5" s="18" t="n">
        <v>46281</v>
      </c>
      <c r="T5" s="18" t="n"/>
      <c r="U5" s="18" t="n">
        <v>46276</v>
      </c>
      <c r="V5" s="16" t="inlineStr">
        <is>
          <t>2026-09-11-activity-tracker-sync.md</t>
        </is>
      </c>
      <c r="W5" s="16" t="inlineStr">
        <is>
          <t>2026-09-11-intelligent-tracker-06</t>
        </is>
      </c>
    </row>
    <row r="6">
      <c r="A6" s="16" t="inlineStr">
        <is>
          <t>Write detailed user stories for the Issues module workflow and present them to Ayush.</t>
        </is>
      </c>
      <c r="B6" s="16" t="inlineStr">
        <is>
          <t>Samuel</t>
        </is>
      </c>
      <c r="C6" s="17" t="inlineStr">
        <is>
          <t>P1</t>
        </is>
      </c>
      <c r="D6" s="17" t="inlineStr">
        <is>
          <t>open</t>
        </is>
      </c>
      <c r="E6" s="18" t="n">
        <v>46276</v>
      </c>
      <c r="F6" s="16" t="inlineStr">
        <is>
          <t>intelligent-tracker</t>
        </is>
      </c>
      <c r="G6" s="16" t="inlineStr">
        <is>
          <t>Intelligent Tracker</t>
        </is>
      </c>
      <c r="H6" s="16" t="inlineStr"/>
      <c r="I6" s="16" t="inlineStr"/>
      <c r="J6" s="16" t="inlineStr"/>
      <c r="K6" s="17" t="inlineStr"/>
      <c r="L6" s="16" t="inlineStr"/>
      <c r="M6" s="16" t="inlineStr"/>
      <c r="N6" s="16" t="inlineStr"/>
      <c r="O6" s="16" t="inlineStr">
        <is>
          <t>user stories you figure out and you show me</t>
        </is>
      </c>
      <c r="P6" s="16" t="inlineStr"/>
      <c r="Q6" s="16" t="inlineStr">
        <is>
          <t>Activity Tracker internal sync-up</t>
        </is>
      </c>
      <c r="R6" s="17" t="inlineStr">
        <is>
          <t>planned</t>
        </is>
      </c>
      <c r="S6" s="18" t="n">
        <v>46281</v>
      </c>
      <c r="T6" s="18" t="n"/>
      <c r="U6" s="18" t="n">
        <v>46276</v>
      </c>
      <c r="V6" s="16" t="inlineStr">
        <is>
          <t>2026-09-11-activity-tracker-sync.md</t>
        </is>
      </c>
      <c r="W6" s="16" t="inlineStr">
        <is>
          <t>2026-09-11-intelligent-tracker-07</t>
        </is>
      </c>
    </row>
    <row r="7">
      <c r="A7" s="16" t="inlineStr">
        <is>
          <t>Complete the SharePoint list configuration for the DB changes made last Friday and update the UI design to match.</t>
        </is>
      </c>
      <c r="B7" s="16" t="inlineStr">
        <is>
          <t>Laxmikant</t>
        </is>
      </c>
      <c r="C7" s="17" t="inlineStr">
        <is>
          <t>P1</t>
        </is>
      </c>
      <c r="D7" s="17" t="inlineStr">
        <is>
          <t>in_progress</t>
        </is>
      </c>
      <c r="E7" s="18" t="n">
        <v>46280</v>
      </c>
      <c r="F7" s="16" t="inlineStr">
        <is>
          <t>intelligent-tracker</t>
        </is>
      </c>
      <c r="G7" s="16" t="inlineStr">
        <is>
          <t>Intelligent Tracker</t>
        </is>
      </c>
      <c r="H7" s="16" t="inlineStr"/>
      <c r="I7" s="16" t="inlineStr"/>
      <c r="J7" s="16" t="inlineStr"/>
      <c r="K7" s="17" t="inlineStr"/>
      <c r="L7" s="16" t="inlineStr"/>
      <c r="M7" s="16" t="inlineStr"/>
      <c r="N7" s="16" t="inlineStr"/>
      <c r="O7" s="16" t="inlineStr">
        <is>
          <t>Lakshmi will be doing the SharePoint configuration, whatever related to DB changes last Friday we did.</t>
        </is>
      </c>
      <c r="P7" s="16" t="inlineStr"/>
      <c r="Q7" s="16" t="inlineStr">
        <is>
          <t>Activity Tracker internal sync-up</t>
        </is>
      </c>
      <c r="R7" s="17" t="inlineStr">
        <is>
          <t>planned</t>
        </is>
      </c>
      <c r="S7" s="18" t="n">
        <v>46281</v>
      </c>
      <c r="T7" s="18" t="n"/>
      <c r="U7" s="18" t="n">
        <v>46280</v>
      </c>
      <c r="V7" s="16" t="inlineStr">
        <is>
          <t>2026-09-15-activity-tracker-sync.md</t>
        </is>
      </c>
      <c r="W7" s="16" t="inlineStr">
        <is>
          <t>2026-09-15-intelligent-tracker-01</t>
        </is>
      </c>
    </row>
    <row r="8">
      <c r="A8" s="16" t="inlineStr">
        <is>
          <t>Update the Issues module UI design and start Canvas development once it is complete.</t>
        </is>
      </c>
      <c r="B8" s="16" t="inlineStr">
        <is>
          <t>Samuel</t>
        </is>
      </c>
      <c r="C8" s="17" t="inlineStr">
        <is>
          <t>P1</t>
        </is>
      </c>
      <c r="D8" s="17" t="inlineStr">
        <is>
          <t>open</t>
        </is>
      </c>
      <c r="E8" s="18" t="n">
        <v>46281</v>
      </c>
      <c r="F8" s="16" t="inlineStr">
        <is>
          <t>intelligent-tracker</t>
        </is>
      </c>
      <c r="G8" s="16" t="inlineStr">
        <is>
          <t>Intelligent Tracker</t>
        </is>
      </c>
      <c r="H8" s="16" t="inlineStr"/>
      <c r="I8" s="16" t="inlineStr"/>
      <c r="J8" s="16" t="inlineStr"/>
      <c r="K8" s="17" t="inlineStr"/>
      <c r="L8" s="16" t="inlineStr"/>
      <c r="M8" s="16" t="inlineStr"/>
      <c r="N8" s="16" t="inlineStr">
        <is>
          <t>2026-09-16: Sreekumar added new review points (root cause, resolution, attachment capture, status dropdown) that must be incorporated before this task is complete; due date extended to today.</t>
        </is>
      </c>
      <c r="O8" s="16" t="inlineStr">
        <is>
          <t>Samuel also, he will update the UI design. So if it is done, so he will start with the development.</t>
        </is>
      </c>
      <c r="P8" s="16" t="inlineStr"/>
      <c r="Q8" s="16" t="inlineStr">
        <is>
          <t>Activity Tracker internal sync-up</t>
        </is>
      </c>
      <c r="R8" s="17" t="inlineStr">
        <is>
          <t>planned</t>
        </is>
      </c>
      <c r="S8" s="18" t="n">
        <v>46281</v>
      </c>
      <c r="T8" s="18" t="n"/>
      <c r="U8" s="18" t="n">
        <v>46280</v>
      </c>
      <c r="V8" s="16" t="inlineStr">
        <is>
          <t>2026-09-15-activity-tracker-sync.md</t>
        </is>
      </c>
      <c r="W8" s="16" t="inlineStr">
        <is>
          <t>2026-09-15-intelligent-tracker-02</t>
        </is>
      </c>
    </row>
    <row r="9">
      <c r="A9" s="16" t="inlineStr">
        <is>
          <t>Review how developers close issues in Zoho (root cause, resolution, attachments) and identify fields to replicate in the Issues module UI.</t>
        </is>
      </c>
      <c r="B9" s="16" t="inlineStr">
        <is>
          <t>Ashwini</t>
        </is>
      </c>
      <c r="C9" s="17" t="inlineStr">
        <is>
          <t>P1</t>
        </is>
      </c>
      <c r="D9" s="17" t="inlineStr">
        <is>
          <t>open</t>
        </is>
      </c>
      <c r="E9" s="18" t="n">
        <v>46281</v>
      </c>
      <c r="F9" s="16" t="inlineStr">
        <is>
          <t>intelligent-tracker</t>
        </is>
      </c>
      <c r="G9" s="16" t="inlineStr">
        <is>
          <t>Intelligent Tracker</t>
        </is>
      </c>
      <c r="H9" s="16" t="inlineStr"/>
      <c r="I9" s="16" t="inlineStr"/>
      <c r="J9" s="16" t="inlineStr"/>
      <c r="K9" s="17" t="inlineStr"/>
      <c r="L9" s="16" t="inlineStr"/>
      <c r="M9" s="16" t="inlineStr"/>
      <c r="N9" s="16" t="inlineStr"/>
      <c r="O9" s="16" t="inlineStr">
        <is>
          <t>Ashwini, how a developer is closing a task? Just look at that once again in Zoho.</t>
        </is>
      </c>
      <c r="P9" s="16" t="inlineStr"/>
      <c r="Q9" s="16" t="inlineStr">
        <is>
          <t>Activity Tracker internal sync-up</t>
        </is>
      </c>
      <c r="R9" s="17" t="inlineStr">
        <is>
          <t>planned</t>
        </is>
      </c>
      <c r="S9" s="18" t="n">
        <v>46281</v>
      </c>
      <c r="T9" s="18" t="n"/>
      <c r="U9" s="18" t="n">
        <v>46281</v>
      </c>
      <c r="V9" s="16" t="inlineStr">
        <is>
          <t>2026-09-16-activity-tracker-sync.md</t>
        </is>
      </c>
      <c r="W9" s="16" t="inlineStr">
        <is>
          <t>2026-09-16-intelligent-tracker-02</t>
        </is>
      </c>
    </row>
    <row r="10">
      <c r="A10" s="16" t="inlineStr">
        <is>
          <t>Add the currency selector column to the CR entry screen UI (currently only present in the impact analysis view).</t>
        </is>
      </c>
      <c r="B10" s="16" t="inlineStr">
        <is>
          <t>Johan</t>
        </is>
      </c>
      <c r="C10" s="17" t="inlineStr">
        <is>
          <t>P1</t>
        </is>
      </c>
      <c r="D10" s="17" t="inlineStr">
        <is>
          <t>open</t>
        </is>
      </c>
      <c r="E10" s="18" t="n">
        <v>46281</v>
      </c>
      <c r="F10" s="16" t="inlineStr">
        <is>
          <t>intelligent-tracker</t>
        </is>
      </c>
      <c r="G10" s="16" t="inlineStr">
        <is>
          <t>Intelligent Tracker</t>
        </is>
      </c>
      <c r="H10" s="16" t="inlineStr"/>
      <c r="I10" s="16" t="inlineStr"/>
      <c r="J10" s="16" t="inlineStr"/>
      <c r="K10" s="17" t="inlineStr"/>
      <c r="L10" s="16" t="inlineStr"/>
      <c r="M10" s="16" t="inlineStr"/>
      <c r="N10" s="16" t="inlineStr"/>
      <c r="O10" s="16" t="inlineStr">
        <is>
          <t>you'll be adding that column in that entry screen, CR entry screen. It is not there now.</t>
        </is>
      </c>
      <c r="P10" s="16" t="inlineStr"/>
      <c r="Q10" s="16" t="inlineStr">
        <is>
          <t>Activity Tracker internal sync-up</t>
        </is>
      </c>
      <c r="R10" s="17" t="inlineStr">
        <is>
          <t>planned</t>
        </is>
      </c>
      <c r="S10" s="18" t="n">
        <v>46281</v>
      </c>
      <c r="T10" s="18" t="n"/>
      <c r="U10" s="18" t="n">
        <v>46281</v>
      </c>
      <c r="V10" s="16" t="inlineStr">
        <is>
          <t>2026-09-16-activity-tracker-sync.md</t>
        </is>
      </c>
      <c r="W10" s="16" t="inlineStr">
        <is>
          <t>2026-09-16-intelligent-tracker-03</t>
        </is>
      </c>
    </row>
    <row r="11">
      <c r="A11" s="16" t="inlineStr">
        <is>
          <t>Add phase-level delay visibility (green/red per stage, payment milestone impact) and a morning alert for predicted delays to the project screen.</t>
        </is>
      </c>
      <c r="B11" s="16" t="inlineStr">
        <is>
          <t>Laxmikant</t>
        </is>
      </c>
      <c r="C11" s="17" t="inlineStr">
        <is>
          <t>P1</t>
        </is>
      </c>
      <c r="D11" s="17" t="inlineStr">
        <is>
          <t>open</t>
        </is>
      </c>
      <c r="E11" s="18" t="n">
        <v>46281</v>
      </c>
      <c r="F11" s="16" t="inlineStr">
        <is>
          <t>intelligent-tracker</t>
        </is>
      </c>
      <c r="G11" s="16" t="inlineStr">
        <is>
          <t>Intelligent Tracker</t>
        </is>
      </c>
      <c r="H11" s="16" t="inlineStr"/>
      <c r="I11" s="16" t="inlineStr"/>
      <c r="J11" s="16" t="inlineStr"/>
      <c r="K11" s="17" t="inlineStr"/>
      <c r="L11" s="16" t="inlineStr"/>
      <c r="M11" s="16" t="inlineStr"/>
      <c r="N11" s="16" t="inlineStr"/>
      <c r="O11" s="16" t="inlineStr">
        <is>
          <t>Every day morning they should know that what is a predicted problem that can happen in the future.</t>
        </is>
      </c>
      <c r="P11" s="16" t="inlineStr"/>
      <c r="Q11" s="16" t="inlineStr">
        <is>
          <t>Activity Tracker internal sync-up</t>
        </is>
      </c>
      <c r="R11" s="17" t="inlineStr">
        <is>
          <t>planned</t>
        </is>
      </c>
      <c r="S11" s="18" t="n">
        <v>46281</v>
      </c>
      <c r="T11" s="18" t="n"/>
      <c r="U11" s="18" t="n">
        <v>46281</v>
      </c>
      <c r="V11" s="16" t="inlineStr">
        <is>
          <t>2026-09-16-activity-tracker-sync.md</t>
        </is>
      </c>
      <c r="W11" s="16" t="inlineStr">
        <is>
          <t>2026-09-16-intelligent-tracker-04</t>
        </is>
      </c>
    </row>
    <row r="12">
      <c r="A12" s="16" t="inlineStr">
        <is>
          <t>Add separate flags for CR effort-vs-estimate overrun and schedule slip in the time tracker.</t>
        </is>
      </c>
      <c r="B12" s="16" t="inlineStr">
        <is>
          <t>Laxmikant</t>
        </is>
      </c>
      <c r="C12" s="17" t="inlineStr">
        <is>
          <t>P1</t>
        </is>
      </c>
      <c r="D12" s="17" t="inlineStr">
        <is>
          <t>open</t>
        </is>
      </c>
      <c r="E12" s="18" t="n">
        <v>46281</v>
      </c>
      <c r="F12" s="16" t="inlineStr">
        <is>
          <t>intelligent-tracker</t>
        </is>
      </c>
      <c r="G12" s="16" t="inlineStr">
        <is>
          <t>Intelligent Tracker</t>
        </is>
      </c>
      <c r="H12" s="16" t="inlineStr"/>
      <c r="I12" s="16" t="inlineStr"/>
      <c r="J12" s="16" t="inlineStr"/>
      <c r="K12" s="17" t="inlineStr"/>
      <c r="L12" s="16" t="inlineStr"/>
      <c r="M12" s="16" t="inlineStr"/>
      <c r="N12" s="16" t="inlineStr"/>
      <c r="O12" s="16" t="inlineStr">
        <is>
          <t>there will be definitely a flat. Yes, estimated hours versus total hours will be there, sir.</t>
        </is>
      </c>
      <c r="P12" s="16" t="inlineStr"/>
      <c r="Q12" s="16" t="inlineStr">
        <is>
          <t>Activity Tracker internal sync-up</t>
        </is>
      </c>
      <c r="R12" s="17" t="inlineStr">
        <is>
          <t>planned</t>
        </is>
      </c>
      <c r="S12" s="18" t="n">
        <v>46281</v>
      </c>
      <c r="T12" s="18" t="n"/>
      <c r="U12" s="18" t="n">
        <v>46281</v>
      </c>
      <c r="V12" s="16" t="inlineStr">
        <is>
          <t>2026-09-16-activity-tracker-sync.md</t>
        </is>
      </c>
      <c r="W12" s="16" t="inlineStr">
        <is>
          <t>2026-09-16-intelligent-tracker-05</t>
        </is>
      </c>
    </row>
    <row r="13">
      <c r="A13" s="16" t="inlineStr">
        <is>
          <t>Post today's review comments for Issues, CR and Plan Tree in the group chat so Sreekumar can give sign-off.</t>
        </is>
      </c>
      <c r="B13" s="16" t="inlineStr">
        <is>
          <t>Ashwini</t>
        </is>
      </c>
      <c r="C13" s="17" t="inlineStr">
        <is>
          <t>P1</t>
        </is>
      </c>
      <c r="D13" s="17" t="inlineStr">
        <is>
          <t>open</t>
        </is>
      </c>
      <c r="E13" s="18" t="n">
        <v>46281</v>
      </c>
      <c r="F13" s="16" t="inlineStr">
        <is>
          <t>intelligent-tracker</t>
        </is>
      </c>
      <c r="G13" s="16" t="inlineStr">
        <is>
          <t>Intelligent Tracker</t>
        </is>
      </c>
      <c r="H13" s="16" t="inlineStr"/>
      <c r="I13" s="16" t="inlineStr"/>
      <c r="J13" s="16" t="inlineStr"/>
      <c r="K13" s="17" t="inlineStr"/>
      <c r="L13" s="16" t="inlineStr"/>
      <c r="M13" s="16" t="inlineStr"/>
      <c r="N13" s="16" t="inlineStr"/>
      <c r="O13" s="16" t="inlineStr">
        <is>
          <t>make sure that we put those review comments in the group. Based on that, I will give you the sign off in the chat.</t>
        </is>
      </c>
      <c r="P13" s="16" t="inlineStr"/>
      <c r="Q13" s="16" t="inlineStr">
        <is>
          <t>Activity Tracker internal sync-up</t>
        </is>
      </c>
      <c r="R13" s="17" t="inlineStr">
        <is>
          <t>planned</t>
        </is>
      </c>
      <c r="S13" s="18" t="n">
        <v>46281</v>
      </c>
      <c r="T13" s="18" t="n"/>
      <c r="U13" s="18" t="n">
        <v>46281</v>
      </c>
      <c r="V13" s="16" t="inlineStr">
        <is>
          <t>2026-09-16-activity-tracker-sync.md</t>
        </is>
      </c>
      <c r="W13" s="16" t="inlineStr">
        <is>
          <t>2026-09-16-intelligent-tracker-06</t>
        </is>
      </c>
    </row>
    <row r="14">
      <c r="A14" s="16" t="inlineStr">
        <is>
          <t>Review Laxmikant's updated solution design document and sign off if it is acceptable.</t>
        </is>
      </c>
      <c r="B14" s="16" t="inlineStr">
        <is>
          <t>Ayush</t>
        </is>
      </c>
      <c r="C14" s="17" t="inlineStr">
        <is>
          <t>P1</t>
        </is>
      </c>
      <c r="D14" s="17" t="inlineStr">
        <is>
          <t>open</t>
        </is>
      </c>
      <c r="E14" s="18" t="n">
        <v>46281</v>
      </c>
      <c r="F14" s="16" t="inlineStr">
        <is>
          <t>intelligent-tracker</t>
        </is>
      </c>
      <c r="G14" s="16" t="inlineStr">
        <is>
          <t>Intelligent Tracker</t>
        </is>
      </c>
      <c r="H14" s="16" t="inlineStr"/>
      <c r="I14" s="16" t="inlineStr"/>
      <c r="J14" s="16" t="inlineStr"/>
      <c r="K14" s="17" t="inlineStr"/>
      <c r="L14" s="16" t="inlineStr"/>
      <c r="M14" s="16" t="inlineStr"/>
      <c r="N14" s="16" t="inlineStr"/>
      <c r="O14" s="16" t="inlineStr">
        <is>
          <t>He sent it to me. I'll review it and I'll sign off on that if it is okay.</t>
        </is>
      </c>
      <c r="P14" s="16" t="inlineStr"/>
      <c r="Q14" s="16" t="inlineStr">
        <is>
          <t>Activity Tracker internal sync-up</t>
        </is>
      </c>
      <c r="R14" s="17" t="inlineStr">
        <is>
          <t>planned</t>
        </is>
      </c>
      <c r="S14" s="18" t="n">
        <v>46281</v>
      </c>
      <c r="T14" s="18" t="n"/>
      <c r="U14" s="18" t="n">
        <v>46281</v>
      </c>
      <c r="V14" s="16" t="inlineStr">
        <is>
          <t>2026-09-16-activity-tracker-sync.md</t>
        </is>
      </c>
      <c r="W14" s="16" t="inlineStr">
        <is>
          <t>2026-09-16-intelligent-tracker-07</t>
        </is>
      </c>
    </row>
    <row r="15">
      <c r="A15" s="16" t="inlineStr">
        <is>
          <t>Show Sreekumar in the application how CR items and issues resolve into work-item tasks.</t>
        </is>
      </c>
      <c r="B15" s="16" t="inlineStr">
        <is>
          <t>Ashwini</t>
        </is>
      </c>
      <c r="C15" s="17" t="inlineStr">
        <is>
          <t>P1</t>
        </is>
      </c>
      <c r="D15" s="17" t="inlineStr">
        <is>
          <t>open</t>
        </is>
      </c>
      <c r="E15" s="18" t="n"/>
      <c r="F15" s="16" t="inlineStr">
        <is>
          <t>intelligent-tracker</t>
        </is>
      </c>
      <c r="G15" s="16" t="inlineStr">
        <is>
          <t>Intelligent Tracker</t>
        </is>
      </c>
      <c r="H15" s="16" t="inlineStr"/>
      <c r="I15" s="16" t="inlineStr"/>
      <c r="J15" s="16" t="inlineStr"/>
      <c r="K15" s="17" t="inlineStr"/>
      <c r="L15" s="16" t="inlineStr"/>
      <c r="M15" s="16" t="inlineStr"/>
      <c r="N15" s="16" t="inlineStr"/>
      <c r="O15" s="16" t="inlineStr">
        <is>
          <t>Yeah, that we will show you on the website.</t>
        </is>
      </c>
      <c r="P15" s="16" t="inlineStr"/>
      <c r="Q15" s="16" t="inlineStr">
        <is>
          <t>Activity Tracker internal sync-up</t>
        </is>
      </c>
      <c r="R15" s="17" t="inlineStr">
        <is>
          <t>planned</t>
        </is>
      </c>
      <c r="S15" s="18" t="n">
        <v>46281</v>
      </c>
      <c r="T15" s="18" t="n"/>
      <c r="U15" s="18" t="n">
        <v>46280</v>
      </c>
      <c r="V15" s="16" t="inlineStr">
        <is>
          <t>2026-09-15-activity-tracker-sync.md</t>
        </is>
      </c>
      <c r="W15" s="16" t="inlineStr">
        <is>
          <t>2026-09-15-intelligent-tracker-03</t>
        </is>
      </c>
    </row>
    <row r="16">
      <c r="A16" s="16" t="inlineStr">
        <is>
          <t>Log detailed CR module tasks for today in Zoho and send the task ID to Ashwini.</t>
        </is>
      </c>
      <c r="B16" s="16" t="inlineStr">
        <is>
          <t>Johan</t>
        </is>
      </c>
      <c r="C16" s="17" t="inlineStr">
        <is>
          <t>P2</t>
        </is>
      </c>
      <c r="D16" s="17" t="inlineStr">
        <is>
          <t>open</t>
        </is>
      </c>
      <c r="E16" s="18" t="n">
        <v>46276</v>
      </c>
      <c r="F16" s="16" t="inlineStr">
        <is>
          <t>intelligent-tracker</t>
        </is>
      </c>
      <c r="G16" s="16" t="inlineStr">
        <is>
          <t>Intelligent Tracker</t>
        </is>
      </c>
      <c r="H16" s="16" t="inlineStr"/>
      <c r="I16" s="16" t="inlineStr"/>
      <c r="J16" s="16" t="inlineStr"/>
      <c r="K16" s="17" t="inlineStr"/>
      <c r="L16" s="16" t="inlineStr"/>
      <c r="M16" s="16" t="inlineStr"/>
      <c r="N16" s="16" t="inlineStr"/>
      <c r="O16" s="16" t="inlineStr">
        <is>
          <t>they will be noting down their detailed task in Zoho and giving a Task ID to Ashwini</t>
        </is>
      </c>
      <c r="P16" s="16" t="inlineStr"/>
      <c r="Q16" s="16" t="inlineStr">
        <is>
          <t>Activity Tracker internal sync-up</t>
        </is>
      </c>
      <c r="R16" s="17" t="inlineStr">
        <is>
          <t>planned</t>
        </is>
      </c>
      <c r="S16" s="18" t="n">
        <v>46281</v>
      </c>
      <c r="T16" s="18" t="n"/>
      <c r="U16" s="18" t="n">
        <v>46276</v>
      </c>
      <c r="V16" s="16" t="inlineStr">
        <is>
          <t>2026-09-11-activity-tracker-sync.md</t>
        </is>
      </c>
      <c r="W16" s="16" t="inlineStr">
        <is>
          <t>2026-09-11-intelligent-tracker-02</t>
        </is>
      </c>
    </row>
    <row r="17">
      <c r="A17" s="16" t="inlineStr">
        <is>
          <t>Log detailed Issues module tasks for today in Zoho and send the task ID to Ashwini.</t>
        </is>
      </c>
      <c r="B17" s="16" t="inlineStr">
        <is>
          <t>Samuel</t>
        </is>
      </c>
      <c r="C17" s="17" t="inlineStr">
        <is>
          <t>P2</t>
        </is>
      </c>
      <c r="D17" s="17" t="inlineStr">
        <is>
          <t>open</t>
        </is>
      </c>
      <c r="E17" s="18" t="n">
        <v>46276</v>
      </c>
      <c r="F17" s="16" t="inlineStr">
        <is>
          <t>intelligent-tracker</t>
        </is>
      </c>
      <c r="G17" s="16" t="inlineStr">
        <is>
          <t>Intelligent Tracker</t>
        </is>
      </c>
      <c r="H17" s="16" t="inlineStr"/>
      <c r="I17" s="16" t="inlineStr"/>
      <c r="J17" s="16" t="inlineStr"/>
      <c r="K17" s="17" t="inlineStr"/>
      <c r="L17" s="16" t="inlineStr"/>
      <c r="M17" s="16" t="inlineStr"/>
      <c r="N17" s="16" t="inlineStr"/>
      <c r="O17" s="16" t="inlineStr">
        <is>
          <t>they will be noting down their detailed task in Zoho and giving a Task ID to Ashwini</t>
        </is>
      </c>
      <c r="P17" s="16" t="inlineStr"/>
      <c r="Q17" s="16" t="inlineStr">
        <is>
          <t>Activity Tracker internal sync-up</t>
        </is>
      </c>
      <c r="R17" s="17" t="inlineStr">
        <is>
          <t>planned</t>
        </is>
      </c>
      <c r="S17" s="18" t="n">
        <v>46281</v>
      </c>
      <c r="T17" s="18" t="n"/>
      <c r="U17" s="18" t="n">
        <v>46276</v>
      </c>
      <c r="V17" s="16" t="inlineStr">
        <is>
          <t>2026-09-11-activity-tracker-sync.md</t>
        </is>
      </c>
      <c r="W17" s="16" t="inlineStr">
        <is>
          <t>2026-09-11-intelligent-tracker-03</t>
        </is>
      </c>
    </row>
    <row r="18">
      <c r="A18" s="16" t="inlineStr">
        <is>
          <t>Speak with Laxmikant to plan the development plan and model for the build.</t>
        </is>
      </c>
      <c r="B18" s="16" t="inlineStr">
        <is>
          <t>Ayush</t>
        </is>
      </c>
      <c r="C18" s="17" t="inlineStr">
        <is>
          <t>P2</t>
        </is>
      </c>
      <c r="D18" s="17" t="inlineStr">
        <is>
          <t>open</t>
        </is>
      </c>
      <c r="E18" s="18" t="n">
        <v>46276</v>
      </c>
      <c r="F18" s="16" t="inlineStr">
        <is>
          <t>intelligent-tracker</t>
        </is>
      </c>
      <c r="G18" s="16" t="inlineStr">
        <is>
          <t>Intelligent Tracker</t>
        </is>
      </c>
      <c r="H18" s="16" t="inlineStr"/>
      <c r="I18" s="16" t="inlineStr"/>
      <c r="J18" s="16" t="inlineStr"/>
      <c r="K18" s="17" t="inlineStr"/>
      <c r="L18" s="16" t="inlineStr"/>
      <c r="M18" s="16" t="inlineStr"/>
      <c r="N18" s="16" t="inlineStr"/>
      <c r="O18" s="16" t="inlineStr">
        <is>
          <t>I will speak to Lakshmi, plan development plan with model that's it</t>
        </is>
      </c>
      <c r="P18" s="16" t="inlineStr"/>
      <c r="Q18" s="16" t="inlineStr">
        <is>
          <t>Activity Tracker internal sync-up</t>
        </is>
      </c>
      <c r="R18" s="17" t="inlineStr">
        <is>
          <t>planned</t>
        </is>
      </c>
      <c r="S18" s="18" t="n">
        <v>46281</v>
      </c>
      <c r="T18" s="18" t="n"/>
      <c r="U18" s="18" t="n">
        <v>46276</v>
      </c>
      <c r="V18" s="16" t="inlineStr">
        <is>
          <t>2026-09-11-activity-tracker-sync.md</t>
        </is>
      </c>
      <c r="W18" s="16" t="inlineStr">
        <is>
          <t>2026-09-11-intelligent-tracker-08</t>
        </is>
      </c>
    </row>
    <row r="19">
      <c r="A19" s="16" t="inlineStr">
        <is>
          <t>Discuss with Laxmikant the feasibility and structural changes needed for the new issue fields from Sreekumar's design before building them.</t>
        </is>
      </c>
      <c r="B19" s="16" t="inlineStr">
        <is>
          <t>Samuel</t>
        </is>
      </c>
      <c r="C19" s="17" t="inlineStr">
        <is>
          <t>P2</t>
        </is>
      </c>
      <c r="D19" s="17" t="inlineStr">
        <is>
          <t>open</t>
        </is>
      </c>
      <c r="E19" s="18" t="n">
        <v>46281</v>
      </c>
      <c r="F19" s="16" t="inlineStr">
        <is>
          <t>intelligent-tracker</t>
        </is>
      </c>
      <c r="G19" s="16" t="inlineStr">
        <is>
          <t>Intelligent Tracker</t>
        </is>
      </c>
      <c r="H19" s="16" t="inlineStr"/>
      <c r="I19" s="16" t="inlineStr"/>
      <c r="J19" s="16" t="inlineStr"/>
      <c r="K19" s="17" t="inlineStr"/>
      <c r="L19" s="16" t="inlineStr"/>
      <c r="M19" s="16" t="inlineStr"/>
      <c r="N19" s="16" t="inlineStr"/>
      <c r="O19" s="16" t="inlineStr">
        <is>
          <t>I wanted Sam to talk to you regarding the feasibility of that. I know it will work, but what is the structure change?</t>
        </is>
      </c>
      <c r="P19" s="16" t="inlineStr"/>
      <c r="Q19" s="16" t="inlineStr">
        <is>
          <t>Activity Tracker internal sync-up</t>
        </is>
      </c>
      <c r="R19" s="17" t="inlineStr">
        <is>
          <t>planned</t>
        </is>
      </c>
      <c r="S19" s="18" t="n">
        <v>46281</v>
      </c>
      <c r="T19" s="18" t="n"/>
      <c r="U19" s="18" t="n">
        <v>46281</v>
      </c>
      <c r="V19" s="16" t="inlineStr">
        <is>
          <t>2026-09-16-activity-tracker-sync.md</t>
        </is>
      </c>
      <c r="W19" s="16" t="inlineStr">
        <is>
          <t>2026-09-16-intelligent-tracker-01</t>
        </is>
      </c>
    </row>
    <row r="20">
      <c r="A20" s="16" t="inlineStr">
        <is>
          <t>Send out a skill-gap poll on HTML/CSS/JavaScript proficiency and use the results to build the training plan.</t>
        </is>
      </c>
      <c r="B20" s="16" t="inlineStr">
        <is>
          <t>Sarathchandra Babu</t>
        </is>
      </c>
      <c r="C20" s="17" t="inlineStr">
        <is>
          <t>P2</t>
        </is>
      </c>
      <c r="D20" s="17" t="inlineStr">
        <is>
          <t>open</t>
        </is>
      </c>
      <c r="E20" s="18" t="n">
        <v>46282</v>
      </c>
      <c r="F20" s="16" t="inlineStr">
        <is>
          <t>unassigned</t>
        </is>
      </c>
      <c r="G20" s="16" t="inlineStr">
        <is>
          <t>unassigned</t>
        </is>
      </c>
      <c r="H20" s="16" t="inlineStr">
        <is>
          <t>coordinate</t>
        </is>
      </c>
      <c r="I20" s="16" t="inlineStr">
        <is>
          <t>Send the poll to the team and collect responses.</t>
        </is>
      </c>
      <c r="J20" s="16" t="inlineStr"/>
      <c r="K20" s="17" t="inlineStr">
        <is>
          <t>1h</t>
        </is>
      </c>
      <c r="L20" s="16" t="inlineStr"/>
      <c r="M20" s="16" t="inlineStr"/>
      <c r="N20" s="16" t="inlineStr"/>
      <c r="O20" s="16" t="inlineStr">
        <is>
          <t>Or, if you can put a poll in one of these, let's see here.</t>
        </is>
      </c>
      <c r="P20" s="16" t="inlineStr">
        <is>
          <t>D-2026-09-17-02</t>
        </is>
      </c>
      <c r="Q20" s="16" t="inlineStr">
        <is>
          <t>Code Apps Learning Curriculum Structure Discussion</t>
        </is>
      </c>
      <c r="R20" s="17" t="inlineStr">
        <is>
          <t>planned</t>
        </is>
      </c>
      <c r="S20" s="18" t="n">
        <v>46282</v>
      </c>
      <c r="T20" s="18" t="n"/>
      <c r="U20" s="18" t="n">
        <v>46282</v>
      </c>
      <c r="V20" s="16" t="inlineStr">
        <is>
          <t>2026-09-17-code-apps-learning-curriculum-discussion.docx</t>
        </is>
      </c>
      <c r="W20" s="16" t="inlineStr">
        <is>
          <t>2026-09-17-unassigned-01</t>
        </is>
      </c>
    </row>
    <row r="21">
      <c r="A21" s="16" t="inlineStr">
        <is>
          <t>Review the new lsp_claim_line_items table and added claim-table columns against the no-further-master-data-changes position agreed with Adwaith.</t>
        </is>
      </c>
      <c r="B21" s="16" t="inlineStr">
        <is>
          <t>Ayush</t>
        </is>
      </c>
      <c r="C21" s="17" t="inlineStr">
        <is>
          <t>P1</t>
        </is>
      </c>
      <c r="D21" s="17" t="inlineStr">
        <is>
          <t>done</t>
        </is>
      </c>
      <c r="E21" s="18" t="n"/>
      <c r="F21" s="16" t="inlineStr">
        <is>
          <t>lsp</t>
        </is>
      </c>
      <c r="G21" s="16" t="inlineStr">
        <is>
          <t>unassigned</t>
        </is>
      </c>
      <c r="H21" s="16" t="inlineStr">
        <is>
          <t>review</t>
        </is>
      </c>
      <c r="I21" s="16" t="inlineStr">
        <is>
          <t>Ayush compares the new tables and columns against the sign-off position and flags any conflicts to Adwaith.</t>
        </is>
      </c>
      <c r="J21" s="16" t="inlineStr"/>
      <c r="K21" s="17" t="inlineStr">
        <is>
          <t>half-day</t>
        </is>
      </c>
      <c r="L21" s="16" t="inlineStr"/>
      <c r="M21" s="16" t="inlineStr">
        <is>
          <t>List of new columns/tables from this CR</t>
        </is>
      </c>
      <c r="N21" s="16" t="inlineStr"/>
      <c r="O21" s="16" t="inlineStr">
        <is>
          <t>Existing claim table: add lsp_fy, lsp_totalnrclaimwithsr, lsp_totalpoclaimwithsr, plus the status-sync fields</t>
        </is>
      </c>
      <c r="P21" s="16" t="inlineStr">
        <is>
          <t>No further master data or DB column changes after sign-off (told to Adwaith on 2026-09-16).</t>
        </is>
      </c>
      <c r="Q21" s="16" t="inlineStr">
        <is>
          <t>CR: Distributor Line-Item Visibility and Claim Status Sync</t>
        </is>
      </c>
      <c r="R21" s="17" t="inlineStr">
        <is>
          <t>planned</t>
        </is>
      </c>
      <c r="S21" s="18" t="n">
        <v>46281</v>
      </c>
      <c r="T21" s="18" t="n">
        <v>46281</v>
      </c>
      <c r="U21" s="18" t="n">
        <v>46281</v>
      </c>
      <c r="V21" s="16" t="inlineStr">
        <is>
          <t>CR_DISTRIBUTOR_LINE_ITEM_VISIBILITY_Revised (1).docx</t>
        </is>
      </c>
      <c r="W21" s="16" t="inlineStr">
        <is>
          <t>2026-09-16-lsp-01</t>
        </is>
      </c>
    </row>
    <row r="22">
      <c r="A22" s="16" t="inlineStr">
        <is>
          <t>Populate lsp_distributoremail for every distributor before the claim-status notification feature rolls out.</t>
        </is>
      </c>
      <c r="B22" s="16" t="inlineStr">
        <is>
          <t>Adwaith</t>
        </is>
      </c>
      <c r="C22" s="17" t="inlineStr">
        <is>
          <t>P2</t>
        </is>
      </c>
      <c r="D22" s="17" t="inlineStr">
        <is>
          <t>done</t>
        </is>
      </c>
      <c r="E22" s="18" t="n"/>
      <c r="F22" s="16" t="inlineStr">
        <is>
          <t>lsp</t>
        </is>
      </c>
      <c r="G22" s="16" t="inlineStr">
        <is>
          <t>unassigned</t>
        </is>
      </c>
      <c r="H22" s="16" t="inlineStr">
        <is>
          <t>other</t>
        </is>
      </c>
      <c r="I22" s="16" t="inlineStr">
        <is>
          <t>Adwaith supplies the missing distributor email addresses for all distributor master records.</t>
        </is>
      </c>
      <c r="J22" s="16" t="inlineStr"/>
      <c r="K22" s="17" t="inlineStr">
        <is>
          <t>unknown</t>
        </is>
      </c>
      <c r="L22" s="16" t="inlineStr"/>
      <c r="M22" s="16" t="inlineStr"/>
      <c r="N22" s="16" t="inlineStr"/>
      <c r="O22" s="16" t="inlineStr">
        <is>
          <t>lsp_distributoremail is not populated for every distributor. Populate it before rollout or the notification silently sends to nobody.</t>
        </is>
      </c>
      <c r="P22" s="16" t="inlineStr">
        <is>
          <t>CR section 7.4 Notifications</t>
        </is>
      </c>
      <c r="Q22" s="16" t="inlineStr">
        <is>
          <t>CR: Distributor Line-Item Visibility and Claim Status Sync</t>
        </is>
      </c>
      <c r="R22" s="17" t="inlineStr">
        <is>
          <t>planned</t>
        </is>
      </c>
      <c r="S22" s="18" t="n">
        <v>46281</v>
      </c>
      <c r="T22" s="18" t="n">
        <v>46281</v>
      </c>
      <c r="U22" s="18" t="n">
        <v>46281</v>
      </c>
      <c r="V22" s="16" t="inlineStr">
        <is>
          <t>CR_DISTRIBUTOR_LINE_ITEM_VISIBILITY_Revised (1).docx</t>
        </is>
      </c>
      <c r="W22" s="16" t="inlineStr">
        <is>
          <t>2026-09-16-lsp-02</t>
        </is>
      </c>
    </row>
    <row r="23">
      <c r="A23" s="16" t="inlineStr">
        <is>
          <t>Agree and document a retention or archival policy for closed periodic closure line-item data.</t>
        </is>
      </c>
      <c r="B23" s="16" t="inlineStr">
        <is>
          <t>Ayush</t>
        </is>
      </c>
      <c r="C23" s="17" t="inlineStr">
        <is>
          <t>P3</t>
        </is>
      </c>
      <c r="D23" s="17" t="inlineStr">
        <is>
          <t>done</t>
        </is>
      </c>
      <c r="E23" s="18" t="n"/>
      <c r="F23" s="16" t="inlineStr">
        <is>
          <t>lsp</t>
        </is>
      </c>
      <c r="G23" s="16" t="inlineStr">
        <is>
          <t>unassigned</t>
        </is>
      </c>
      <c r="H23" s="16" t="inlineStr">
        <is>
          <t>decide</t>
        </is>
      </c>
      <c r="I23" s="16" t="inlineStr">
        <is>
          <t>Ayush proposes a retention window and confirms it with the DMS side.</t>
        </is>
      </c>
      <c r="J23" s="16" t="inlineStr"/>
      <c r="K23" s="17" t="inlineStr">
        <is>
          <t>unknown</t>
        </is>
      </c>
      <c r="L23" s="16" t="inlineStr"/>
      <c r="M23" s="16" t="inlineStr"/>
      <c r="N23" s="16" t="inlineStr"/>
      <c r="O23" s="16" t="inlineStr">
        <is>
          <t>Agree a retention or archival policy for closed periodic closures.</t>
        </is>
      </c>
      <c r="P23" s="16" t="inlineStr">
        <is>
          <t>CR section 8.6 Sizing</t>
        </is>
      </c>
      <c r="Q23" s="16" t="inlineStr">
        <is>
          <t>CR: Distributor Line-Item Visibility and Claim Status Sync</t>
        </is>
      </c>
      <c r="R23" s="17" t="inlineStr">
        <is>
          <t>planned</t>
        </is>
      </c>
      <c r="S23" s="18" t="n">
        <v>46281</v>
      </c>
      <c r="T23" s="18" t="n">
        <v>46281</v>
      </c>
      <c r="U23" s="18" t="n">
        <v>46281</v>
      </c>
      <c r="V23" s="16" t="inlineStr">
        <is>
          <t>CR_DISTRIBUTOR_LINE_ITEM_VISIBILITY_Revised (1).docx</t>
        </is>
      </c>
      <c r="W23" s="16" t="inlineStr">
        <is>
          <t>2026-09-16-lsp-03</t>
        </is>
      </c>
    </row>
  </sheetData>
  <conditionalFormatting sqref="D2:D5000">
    <cfRule type="expression" priority="1" dxfId="1">
      <formula>$D2="done"</formula>
    </cfRule>
    <cfRule type="expression" priority="2" dxfId="2">
      <formula>$D2="to_verify"</formula>
    </cfRule>
    <cfRule type="expression" priority="3" dxfId="3">
      <formula>$D2="blocked"</formula>
    </cfRule>
    <cfRule type="expression" priority="4" dxfId="4">
      <formula>$D2="in_progress"</formula>
    </cfRule>
  </conditionalFormatting>
  <conditionalFormatting sqref="C2:C5000">
    <cfRule type="expression" priority="5" dxfId="5">
      <formula>AND($C2="P1",NOT(OR($D2="done",$D2="rejected")))</formula>
    </cfRule>
    <cfRule type="expression" priority="6" dxfId="6">
      <formula>AND($C2="P2",NOT(OR($D2="done",$D2="rejected")))</formula>
    </cfRule>
    <cfRule type="expression" priority="7" dxfId="7">
      <formula>AND($C2="P3",NOT(OR($D2="done",$D2="rejected")))</formula>
    </cfRule>
  </conditionalFormatting>
  <conditionalFormatting sqref="E2:E5000">
    <cfRule type="expression" priority="8" dxfId="8">
      <formula>AND($E2&lt;&gt;"",$E2&lt;TODAY(),NOT(OR($D2="done",$D2="rejected")))</formula>
    </cfRule>
    <cfRule type="expression" priority="9" dxfId="9">
      <formula>AND($E2&lt;&gt;"",$E2=TODAY(),NOT(OR($D2="done",$D2="rejected")))</formula>
    </cfRule>
  </conditionalFormatting>
  <conditionalFormatting sqref="A2:W5000">
    <cfRule type="expression" priority="10" dxfId="10">
      <formula>OR($D2="done",$D2="rejected")</formula>
    </cfRule>
  </conditionalFormatting>
  <dataValidations count="5">
    <dataValidation sqref="D2:D5000" showDropDown="0" showInputMessage="0" showErrorMessage="0" allowBlank="1" errorTitle="Unknown status" error="Pick one of: blocked, in_progress, open, to_verify, done, rejected" type="list">
      <formula1>"blocked,in_progress,open,to_verify,done,rejected"</formula1>
    </dataValidation>
    <dataValidation sqref="C2:C5000" showDropDown="0" showInputMessage="0" showErrorMessage="0" allowBlank="1" errorTitle="Unknown priority" error="Pick one of: P1, P2, P3" type="list">
      <formula1>"P1,P2,P3"</formula1>
    </dataValidation>
    <dataValidation sqref="H2:H5000" showDropDown="0" showInputMessage="0" showErrorMessage="0" allowBlank="1" errorTitle="Unknown type" error="Pick one of: communicate, decide, build, review, coordinate, other" type="list">
      <formula1>"communicate,decide,build,review,coordinate,other"</formula1>
    </dataValidation>
    <dataValidation sqref="K2:K5000" showDropDown="0" showInputMessage="0" showErrorMessage="0" allowBlank="1" errorTitle="Unknown effort" error="Pick one of: 15m, 1h, half-day, day+, unknown" type="list">
      <formula1>"15m,1h,half-day,day+,unknown"</formula1>
    </dataValidation>
    <dataValidation sqref="R2:R5000" showDropDown="0" showInputMessage="0" showErrorMessage="0" allowBlank="1" errorTitle="Unknown origin" error="Pick one of: planned, unplanned" type="list">
      <formula1>"planned,unplanned"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2026-09-17T07:36:26Z</dcterms:created>
  <dcterms:modified xmlns:dcterms="http://purl.org/dc/terms/" xmlns:xsi="http://www.w3.org/2001/XMLSchema-instance" xsi:type="dcterms:W3CDTF">2026-09-17T07:36:26Z</dcterms:modified>
</cp:coreProperties>
</file>